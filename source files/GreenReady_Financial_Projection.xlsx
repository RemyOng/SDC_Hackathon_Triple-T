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0F8DA4AA-0F93-4B08-942D-3A3E301A3357}" xr6:coauthVersionLast="47" xr6:coauthVersionMax="47" xr10:uidLastSave="{00000000-0000-0000-0000-000000000000}"/>
  <bookViews>
    <workbookView xWindow="-108" yWindow="-108" windowWidth="23256" windowHeight="12456" tabRatio="500" xr2:uid="{00000000-000D-0000-FFFF-FFFF00000000}"/>
  </bookViews>
  <sheets>
    <sheet name="Summary" sheetId="1" r:id="rId1"/>
    <sheet name="Pricing_Model" sheetId="2" r:id="rId2"/>
    <sheet name="Assumptions" sheetId="3" r:id="rId3"/>
    <sheet name="Upgrade_Calc" sheetId="4" r:id="rId4"/>
    <sheet name="Volumes" sheetId="5" r:id="rId5"/>
    <sheet name="Benefits" sheetId="6" r:id="rId6"/>
    <sheet name="Pricing_Income" sheetId="7" r:id="rId7"/>
    <sheet name="Spendings" sheetId="8" r:id="rId8"/>
    <sheet name="ROI" sheetId="9" r:id="rId9"/>
    <sheet name="Dashboard" sheetId="10" r:id="rId10"/>
    <sheet name="Business_Model" sheetId="11" r:id="rId11"/>
    <sheet name="Marketing_Plan" sheetId="12" r:id="rId12"/>
    <sheet name="Reference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8" i="12" l="1"/>
  <c r="B27" i="12"/>
  <c r="B26" i="12"/>
  <c r="B25" i="12"/>
  <c r="B24" i="12"/>
  <c r="B23" i="12"/>
  <c r="F8" i="12"/>
  <c r="E8" i="12"/>
  <c r="D8" i="12"/>
  <c r="C8" i="12"/>
  <c r="B8" i="12"/>
  <c r="C35" i="11"/>
  <c r="C34" i="11"/>
  <c r="C30" i="11"/>
  <c r="C15" i="11"/>
  <c r="C11" i="11"/>
  <c r="C10" i="11"/>
  <c r="C8" i="11"/>
  <c r="C7" i="11"/>
  <c r="C35" i="9"/>
  <c r="C34" i="9"/>
  <c r="C33" i="9"/>
  <c r="C32" i="9"/>
  <c r="C31" i="9"/>
  <c r="B28" i="9"/>
  <c r="I8" i="8"/>
  <c r="H8" i="8"/>
  <c r="F16" i="12" s="1"/>
  <c r="G8" i="8"/>
  <c r="E8" i="8"/>
  <c r="I7" i="8"/>
  <c r="H7" i="8"/>
  <c r="E16" i="12" s="1"/>
  <c r="G7" i="8"/>
  <c r="E7" i="8"/>
  <c r="I6" i="8"/>
  <c r="H6" i="8"/>
  <c r="D16" i="12" s="1"/>
  <c r="G6" i="8"/>
  <c r="E6" i="8"/>
  <c r="I5" i="8"/>
  <c r="H5" i="8"/>
  <c r="C16" i="12" s="1"/>
  <c r="G5" i="8"/>
  <c r="E5" i="8"/>
  <c r="I4" i="8"/>
  <c r="I9" i="8" s="1"/>
  <c r="H4" i="8"/>
  <c r="G4" i="8"/>
  <c r="G9" i="8" s="1"/>
  <c r="E4" i="8"/>
  <c r="E9" i="8" s="1"/>
  <c r="E8" i="7"/>
  <c r="E7" i="7"/>
  <c r="E6" i="7"/>
  <c r="E5" i="7"/>
  <c r="E4" i="7"/>
  <c r="E9" i="7" s="1"/>
  <c r="B9" i="5"/>
  <c r="B8" i="5"/>
  <c r="B7" i="5"/>
  <c r="B6" i="5"/>
  <c r="B5" i="5"/>
  <c r="G7" i="4"/>
  <c r="E7" i="4"/>
  <c r="B7" i="4"/>
  <c r="G6" i="4"/>
  <c r="B6" i="4"/>
  <c r="G5" i="4"/>
  <c r="G8" i="4" s="1"/>
  <c r="B5" i="4"/>
  <c r="B100" i="3"/>
  <c r="B93" i="3"/>
  <c r="B78" i="3"/>
  <c r="B60" i="3"/>
  <c r="E6" i="4" s="1"/>
  <c r="B53" i="3"/>
  <c r="E5" i="4" s="1"/>
  <c r="E8" i="4" s="1"/>
  <c r="B39" i="3"/>
  <c r="B28" i="3"/>
  <c r="B29" i="3" s="1"/>
  <c r="B11" i="3"/>
  <c r="F34" i="2"/>
  <c r="F33" i="2"/>
  <c r="F32" i="2"/>
  <c r="F31" i="2"/>
  <c r="F30" i="2"/>
  <c r="F36" i="2" s="1"/>
  <c r="F29" i="2"/>
  <c r="F35" i="2" s="1"/>
  <c r="B17" i="2"/>
  <c r="B16" i="2"/>
  <c r="B15" i="2"/>
  <c r="B14" i="2"/>
  <c r="B13" i="2"/>
  <c r="A25" i="1"/>
  <c r="A7" i="1"/>
  <c r="B16" i="12" l="1"/>
  <c r="H9" i="8"/>
  <c r="C24" i="11"/>
  <c r="B43" i="2"/>
  <c r="F6" i="12"/>
  <c r="C9" i="5"/>
  <c r="C8" i="8"/>
  <c r="H9" i="5"/>
  <c r="E9" i="5"/>
  <c r="E6" i="12"/>
  <c r="C8" i="5"/>
  <c r="E8" i="5"/>
  <c r="H8" i="5"/>
  <c r="C7" i="8"/>
  <c r="D6" i="12"/>
  <c r="C6" i="8"/>
  <c r="H7" i="5"/>
  <c r="E7" i="5"/>
  <c r="C7" i="5"/>
  <c r="C6" i="12"/>
  <c r="C5" i="8"/>
  <c r="H6" i="5"/>
  <c r="E6" i="5"/>
  <c r="C6" i="5"/>
  <c r="B6" i="12"/>
  <c r="B10" i="5"/>
  <c r="C4" i="8"/>
  <c r="C9" i="8" s="1"/>
  <c r="H5" i="5"/>
  <c r="E5" i="5"/>
  <c r="C5" i="5"/>
  <c r="D7" i="4"/>
  <c r="C7" i="4"/>
  <c r="D6" i="4"/>
  <c r="C6" i="4"/>
  <c r="F6" i="4" s="1"/>
  <c r="B8" i="4"/>
  <c r="D5" i="4"/>
  <c r="D8" i="4" s="1"/>
  <c r="C5" i="4"/>
  <c r="D5" i="8"/>
  <c r="D4" i="8"/>
  <c r="D8" i="8"/>
  <c r="D7" i="8"/>
  <c r="D6" i="8"/>
  <c r="C5" i="11"/>
  <c r="D8" i="5"/>
  <c r="D5" i="5"/>
  <c r="D6" i="5"/>
  <c r="D7" i="5"/>
  <c r="D9" i="5"/>
  <c r="A21" i="1" s="1"/>
  <c r="F9" i="5" l="1"/>
  <c r="F8" i="8"/>
  <c r="F15" i="12" s="1"/>
  <c r="F17" i="12" s="1"/>
  <c r="F7" i="12"/>
  <c r="F19" i="12" s="1"/>
  <c r="I9" i="5"/>
  <c r="D8" i="6"/>
  <c r="C8" i="7"/>
  <c r="F9" i="12"/>
  <c r="G9" i="5"/>
  <c r="B8" i="7" s="1"/>
  <c r="B8" i="6"/>
  <c r="C8" i="6"/>
  <c r="B8" i="8"/>
  <c r="F8" i="5"/>
  <c r="F7" i="8"/>
  <c r="E15" i="12" s="1"/>
  <c r="E17" i="12" s="1"/>
  <c r="E7" i="12"/>
  <c r="E19" i="12" s="1"/>
  <c r="G8" i="5"/>
  <c r="B7" i="7" s="1"/>
  <c r="B7" i="6"/>
  <c r="C7" i="6"/>
  <c r="B7" i="8"/>
  <c r="I8" i="5"/>
  <c r="D7" i="6"/>
  <c r="C7" i="7"/>
  <c r="E9" i="12"/>
  <c r="I7" i="5"/>
  <c r="D6" i="6"/>
  <c r="C6" i="7"/>
  <c r="D9" i="12"/>
  <c r="B6" i="6"/>
  <c r="C6" i="6"/>
  <c r="B6" i="8"/>
  <c r="F7" i="5"/>
  <c r="G7" i="5" s="1"/>
  <c r="B6" i="7" s="1"/>
  <c r="F6" i="8"/>
  <c r="D15" i="12" s="1"/>
  <c r="D17" i="12" s="1"/>
  <c r="D7" i="12"/>
  <c r="D19" i="12" s="1"/>
  <c r="I6" i="5"/>
  <c r="D5" i="6"/>
  <c r="C5" i="7"/>
  <c r="C9" i="12"/>
  <c r="B5" i="6"/>
  <c r="C5" i="6"/>
  <c r="B5" i="8"/>
  <c r="F6" i="5"/>
  <c r="G6" i="5" s="1"/>
  <c r="B5" i="7" s="1"/>
  <c r="F5" i="8"/>
  <c r="C15" i="12" s="1"/>
  <c r="C17" i="12" s="1"/>
  <c r="C7" i="12"/>
  <c r="C19" i="12" s="1"/>
  <c r="I5" i="5"/>
  <c r="H10" i="5"/>
  <c r="D4" i="6"/>
  <c r="D9" i="6" s="1"/>
  <c r="C4" i="7"/>
  <c r="C9" i="7" s="1"/>
  <c r="B9" i="12"/>
  <c r="E10" i="5"/>
  <c r="B4" i="6"/>
  <c r="B9" i="6" s="1"/>
  <c r="C4" i="6"/>
  <c r="B4" i="8"/>
  <c r="F5" i="5"/>
  <c r="C10" i="5"/>
  <c r="F4" i="8"/>
  <c r="B7" i="12"/>
  <c r="F7" i="4"/>
  <c r="F5" i="4"/>
  <c r="A17" i="1" s="1"/>
  <c r="C8" i="4"/>
  <c r="F8" i="4" s="1"/>
  <c r="D9" i="8"/>
  <c r="J9" i="5" l="1"/>
  <c r="M9" i="5"/>
  <c r="J8" i="8"/>
  <c r="G9" i="9"/>
  <c r="K8" i="8"/>
  <c r="D9" i="9" s="1"/>
  <c r="C33" i="11"/>
  <c r="J7" i="8"/>
  <c r="K7" i="8" s="1"/>
  <c r="D8" i="9" s="1"/>
  <c r="G8" i="9"/>
  <c r="J8" i="5"/>
  <c r="M8" i="5"/>
  <c r="J7" i="5"/>
  <c r="M7" i="5"/>
  <c r="J6" i="8"/>
  <c r="G7" i="9"/>
  <c r="J6" i="5"/>
  <c r="M6" i="5"/>
  <c r="J5" i="8"/>
  <c r="G6" i="9"/>
  <c r="J5" i="5"/>
  <c r="M5" i="5"/>
  <c r="I10" i="5"/>
  <c r="C14" i="11"/>
  <c r="C22" i="11"/>
  <c r="B41" i="2"/>
  <c r="C13" i="11"/>
  <c r="A16" i="1"/>
  <c r="C9" i="6"/>
  <c r="B9" i="8"/>
  <c r="F9" i="8"/>
  <c r="B15" i="12"/>
  <c r="B17" i="12" s="1"/>
  <c r="B19" i="12" s="1"/>
  <c r="K6" i="8"/>
  <c r="D7" i="9" s="1"/>
  <c r="K5" i="8"/>
  <c r="D6" i="9" s="1"/>
  <c r="F10" i="5"/>
  <c r="G5" i="5"/>
  <c r="D8" i="7" l="1"/>
  <c r="F10" i="12"/>
  <c r="D7" i="7"/>
  <c r="F7" i="7" s="1"/>
  <c r="E10" i="12"/>
  <c r="D6" i="7"/>
  <c r="F6" i="7" s="1"/>
  <c r="D10" i="12"/>
  <c r="C7" i="9"/>
  <c r="E7" i="9" s="1"/>
  <c r="B33" i="9" s="1"/>
  <c r="D33" i="9" s="1"/>
  <c r="D18" i="12"/>
  <c r="D5" i="7"/>
  <c r="F5" i="7" s="1"/>
  <c r="C10" i="12"/>
  <c r="C6" i="9"/>
  <c r="E6" i="9" s="1"/>
  <c r="B32" i="9" s="1"/>
  <c r="D32" i="9" s="1"/>
  <c r="C18" i="12"/>
  <c r="K5" i="5"/>
  <c r="L5" i="5"/>
  <c r="J10" i="5"/>
  <c r="M10" i="5"/>
  <c r="D4" i="7"/>
  <c r="D9" i="7" s="1"/>
  <c r="B10" i="12"/>
  <c r="B4" i="7"/>
  <c r="G10" i="5"/>
  <c r="C29" i="11" l="1"/>
  <c r="C31" i="11" s="1"/>
  <c r="F8" i="7"/>
  <c r="E18" i="12"/>
  <c r="C8" i="9"/>
  <c r="E8" i="9" s="1"/>
  <c r="B34" i="9" s="1"/>
  <c r="D34" i="9" s="1"/>
  <c r="K6" i="5"/>
  <c r="L6" i="5"/>
  <c r="E4" i="6"/>
  <c r="G4" i="6"/>
  <c r="C23" i="11"/>
  <c r="B42" i="2"/>
  <c r="F4" i="7"/>
  <c r="B9" i="7"/>
  <c r="J4" i="8"/>
  <c r="G5" i="9"/>
  <c r="F18" i="12" l="1"/>
  <c r="C9" i="9"/>
  <c r="K7" i="5"/>
  <c r="L7" i="5"/>
  <c r="E5" i="6"/>
  <c r="F5" i="6" s="1"/>
  <c r="B6" i="9" s="1"/>
  <c r="G5" i="6"/>
  <c r="F4" i="6"/>
  <c r="F9" i="7"/>
  <c r="C5" i="9"/>
  <c r="B18" i="12"/>
  <c r="C21" i="11"/>
  <c r="C25" i="11" s="1"/>
  <c r="B40" i="2"/>
  <c r="K4" i="8"/>
  <c r="J9" i="8"/>
  <c r="G10" i="9"/>
  <c r="E9" i="9" l="1"/>
  <c r="B35" i="9" s="1"/>
  <c r="D35" i="9" s="1"/>
  <c r="B21" i="9"/>
  <c r="C13" i="1" s="1"/>
  <c r="K8" i="5"/>
  <c r="L8" i="5"/>
  <c r="E6" i="6"/>
  <c r="G6" i="6"/>
  <c r="I6" i="9"/>
  <c r="H6" i="9"/>
  <c r="B5" i="9"/>
  <c r="C9" i="11"/>
  <c r="C12" i="11"/>
  <c r="D21" i="11"/>
  <c r="D22" i="11"/>
  <c r="D23" i="11"/>
  <c r="D24" i="11"/>
  <c r="C40" i="2"/>
  <c r="C41" i="2"/>
  <c r="C42" i="2"/>
  <c r="C43" i="2"/>
  <c r="B44" i="2"/>
  <c r="C10" i="9"/>
  <c r="D5" i="9"/>
  <c r="K9" i="8"/>
  <c r="C16" i="11" s="1"/>
  <c r="K9" i="5" l="1"/>
  <c r="L9" i="5"/>
  <c r="E7" i="6"/>
  <c r="F7" i="6" s="1"/>
  <c r="B8" i="9" s="1"/>
  <c r="G7" i="6"/>
  <c r="F6" i="6"/>
  <c r="I5" i="9"/>
  <c r="H5" i="9"/>
  <c r="B15" i="9"/>
  <c r="A20" i="1"/>
  <c r="D25" i="11"/>
  <c r="C44" i="2"/>
  <c r="D10" i="9"/>
  <c r="B17" i="9" s="1"/>
  <c r="E5" i="9"/>
  <c r="E8" i="6" l="1"/>
  <c r="G8" i="6"/>
  <c r="G9" i="6" s="1"/>
  <c r="E7" i="1" s="1"/>
  <c r="I8" i="9"/>
  <c r="H8" i="9"/>
  <c r="B7" i="9"/>
  <c r="B24" i="9"/>
  <c r="B19" i="9"/>
  <c r="A10" i="1" s="1"/>
  <c r="B16" i="9"/>
  <c r="B26" i="9"/>
  <c r="B27" i="9"/>
  <c r="A22" i="1" s="1"/>
  <c r="B31" i="9"/>
  <c r="D31" i="9" s="1"/>
  <c r="D36" i="9" s="1"/>
  <c r="E10" i="1" s="1"/>
  <c r="B23" i="9"/>
  <c r="E10" i="9"/>
  <c r="F5" i="9"/>
  <c r="E9" i="6" l="1"/>
  <c r="F8" i="6"/>
  <c r="I7" i="9"/>
  <c r="H7" i="9"/>
  <c r="E13" i="1"/>
  <c r="F6" i="9"/>
  <c r="F7" i="9" s="1"/>
  <c r="F8" i="9" s="1"/>
  <c r="F9" i="9" s="1"/>
  <c r="B22" i="9"/>
  <c r="F9" i="6" l="1"/>
  <c r="B9" i="9"/>
  <c r="A13" i="1"/>
  <c r="A19" i="1"/>
  <c r="B10" i="9" l="1"/>
  <c r="I9" i="9"/>
  <c r="C32" i="11" s="1"/>
  <c r="H9" i="9"/>
  <c r="H10" i="9" s="1"/>
  <c r="B20" i="9" l="1"/>
  <c r="I10" i="9"/>
  <c r="B14" i="9"/>
  <c r="C7" i="1"/>
  <c r="A18" i="1" l="1"/>
  <c r="C10" i="1"/>
  <c r="C6" i="11"/>
</calcChain>
</file>

<file path=xl/sharedStrings.xml><?xml version="1.0" encoding="utf-8"?>
<sst xmlns="http://schemas.openxmlformats.org/spreadsheetml/2006/main" count="940" uniqueCount="786">
  <si>
    <t>Orbyte GreenReady — Executive Summary</t>
  </si>
  <si>
    <t>Role: GreenReady is a new module inside Orbyte (Alpha Red Pro Sdn Bhd). All figures are from Orbyte's point of view: new income the module earns minus the extra cost to build and run it.</t>
  </si>
  <si>
    <t>All figures are projections from the Assumptions sheet (team estimates plus cited public data). They are estimates, not guarantees.</t>
  </si>
  <si>
    <t>Customers using GreenReady (Y5)</t>
  </si>
  <si>
    <t>5-Year Customer Benefits (RM)</t>
  </si>
  <si>
    <t>CO2e Avoided, credited (5-yr, t)</t>
  </si>
  <si>
    <t>Orbyte ROI on GreenReady (5-yr)</t>
  </si>
  <si>
    <t>Customer ROI (5-yr)</t>
  </si>
  <si>
    <t>NPV @ discount rate (RM)</t>
  </si>
  <si>
    <t>Orbyte break-even (cumulative)</t>
  </si>
  <si>
    <t>Year-5 operating margin</t>
  </si>
  <si>
    <t>Customer break-even</t>
  </si>
  <si>
    <t>Key Takeaways</t>
  </si>
  <si>
    <t>Core Assumptions (full price list on the Pricing_Model sheet)</t>
  </si>
  <si>
    <t>Money for upgrades moves off-platform through licensed lenders and suppliers; GreenReady earns fees only, never interest or loan commission.</t>
  </si>
  <si>
    <t>How GreenReady Charges — Role, Price List and Money Flow</t>
  </si>
  <si>
    <t>1. Our role</t>
  </si>
  <si>
    <t>Party</t>
  </si>
  <si>
    <t>Role</t>
  </si>
  <si>
    <t>What they get</t>
  </si>
  <si>
    <t>Orbyte (Alpha Red Pro Sdn Bhd)</t>
  </si>
  <si>
    <t>Owner and operator of the GreenReady module (the vendor in this model)</t>
  </si>
  <si>
    <t>New usage-based income from SMEs, banks and suppliers; SMEs open Orbyte every month</t>
  </si>
  <si>
    <t>SME owner and staff</t>
  </si>
  <si>
    <t>Customer — uses GreenReady inside Orbyte, pays per use from the Orbyte credit wallet</t>
  </si>
  <si>
    <t>Bill checked in minutes, fair upgrade comparison, bank-ready Preparation Pack</t>
  </si>
  <si>
    <t>Banks and green investors</t>
  </si>
  <si>
    <t>Partner — monthly subscription to see anonymised, checked listings</t>
  </si>
  <si>
    <t>Pre-checked green-loan applicants matched to their own criteria</t>
  </si>
  <si>
    <t>SEDA-registered and equipment suppliers</t>
  </si>
  <si>
    <t>Partner — pays per accepted connection</t>
  </si>
  <si>
    <t>Qualified leads backed by real bill data, only after the owner says yes</t>
  </si>
  <si>
    <t>GreenReady earns fees only. Loans, deposits and upgrade payments never pass through Orbyte: banks and suppliers deal with the SME directly. No credit scores, ratings or financial advice.</t>
  </si>
  <si>
    <t>2. Price list (every price links to the Assumptions sheet)</t>
  </si>
  <si>
    <t>Item</t>
  </si>
  <si>
    <t>Price</t>
  </si>
  <si>
    <t>Who pays</t>
  </si>
  <si>
    <t>When it is charged</t>
  </si>
  <si>
    <t>What is included</t>
  </si>
  <si>
    <t>How it is paid</t>
  </si>
  <si>
    <t>Free starting credit</t>
  </si>
  <si>
    <t>Orbyte gives it (cost = lost income)</t>
  </si>
  <si>
    <t>When the company first opens GreenReady</t>
  </si>
  <si>
    <t>Covers the first analyses (RM10 ÷ RM2 = 5 bills). One per company, checked by SSM number</t>
  </si>
  <si>
    <t>Orbyte credit wallet</t>
  </si>
  <si>
    <t>Bill analysis</t>
  </si>
  <si>
    <t>SME</t>
  </si>
  <si>
    <t>Each TNB bill analysed after the free credit</t>
  </si>
  <si>
    <t>Charge-line reading, 8 tariff checks, spike alert, 6-month trend, upgrade comparison</t>
  </si>
  <si>
    <t>Preparation Pack + 90-day partner access</t>
  </si>
  <si>
    <t>When the owner decides to act on an upgrade</t>
  </si>
  <si>
    <t>6-month checked bill summary and upgrade estimates (PDF), anonymous listing, 90 days of investor and supplier connections</t>
  </si>
  <si>
    <t>Supplier connection</t>
  </si>
  <si>
    <t>Supplier</t>
  </si>
  <si>
    <t>Only after the owner accepts the supplier's request</t>
  </si>
  <si>
    <t>Company name, contact person, site address and exact usage for sizing</t>
  </si>
  <si>
    <t>Monthly invoice</t>
  </si>
  <si>
    <t>Bank / investor subscription</t>
  </si>
  <si>
    <t>Bank or green investor</t>
  </si>
  <si>
    <t>Every month</t>
  </si>
  <si>
    <t>Unlimited browsing of anonymised listings, criteria match, repayment check on its own terms, Expression of Interest after acceptance</t>
  </si>
  <si>
    <t>Not charged: browsing GreenReady, viewing the first results, the owner accepting or declining requests, and partners viewing listings they already pay for. No monthly fee for SMEs and no per-seat fees, in line with Orbyte's usage-based pricing [44].</t>
  </si>
  <si>
    <t>3. What GreenReady reuses from Orbyte (no extra cost in this model)</t>
  </si>
  <si>
    <t>Orbyte feature</t>
  </si>
  <si>
    <t>Used in GreenReady for</t>
  </si>
  <si>
    <t>Connect — sign-in, roles, approval workflows</t>
  </si>
  <si>
    <t>Owner, staff and partner roles; the owner approves each listing and each connection</t>
  </si>
  <si>
    <t>Credit wallet (one wallet for every module)</t>
  </si>
  <si>
    <t>Free starting credit, bill analyses and Preparation Packs</t>
  </si>
  <si>
    <t>eClaim</t>
  </si>
  <si>
    <t>When staff claim a TNB bill, GreenReady analyses it automatically (the trigger)</t>
  </si>
  <si>
    <t>eSign and audit log</t>
  </si>
  <si>
    <t>Owner signs a supplier's firm quotation; every upload, approval and request is recorded</t>
  </si>
  <si>
    <t>4. Worked example — one SME in its first year</t>
  </si>
  <si>
    <t>Step</t>
  </si>
  <si>
    <t>What happens</t>
  </si>
  <si>
    <t>Paid by</t>
  </si>
  <si>
    <t>Orbyte earns (RM)</t>
  </si>
  <si>
    <t>1. Joins</t>
  </si>
  <si>
    <t>Kilang A opens GreenReady in Orbyte and receives the free credit</t>
  </si>
  <si>
    <t>Orbyte</t>
  </si>
  <si>
    <t>2. Monthly checks</t>
  </si>
  <si>
    <t>12 bills analysed: the first 5 use the free credit, 7 are paid</t>
  </si>
  <si>
    <t>3. Plans an upgrade</t>
  </si>
  <si>
    <t>Solar looks worth it, so the owner buys a Preparation Pack</t>
  </si>
  <si>
    <t>4. Suppliers connect</t>
  </si>
  <si>
    <t>Two suppliers send proposals; the owner accepts both</t>
  </si>
  <si>
    <t>Suppliers</t>
  </si>
  <si>
    <t>5. Bank connects</t>
  </si>
  <si>
    <t>A subscribed bank sends an Expression of Interest; covered by its subscription</t>
  </si>
  <si>
    <t>Bank</t>
  </si>
  <si>
    <t>6. Deal off-platform</t>
  </si>
  <si>
    <t>Loan and installation are agreed directly between Kilang A, the bank and the supplier</t>
  </si>
  <si>
    <t>—</t>
  </si>
  <si>
    <t>Total from Kilang A</t>
  </si>
  <si>
    <t>Kilang A pays the analyses and the pack; suppliers pay the connections</t>
  </si>
  <si>
    <t>Kilang A pays in total</t>
  </si>
  <si>
    <t>Analyses + Preparation Pack</t>
  </si>
  <si>
    <t>5. Five-year income by stream (from Pricing_Income)</t>
  </si>
  <si>
    <t>Stream</t>
  </si>
  <si>
    <t>5-yr income (RM)</t>
  </si>
  <si>
    <t>Share</t>
  </si>
  <si>
    <t>Bill analyses (SME)</t>
  </si>
  <si>
    <t>Preparation Packs (SME)</t>
  </si>
  <si>
    <t>Supplier connections</t>
  </si>
  <si>
    <t>Bank / investor subscriptions</t>
  </si>
  <si>
    <t>Total</t>
  </si>
  <si>
    <t>Orbyte GreenReady — Financial Model Assumptions</t>
  </si>
  <si>
    <t>Yellow cells with blue text are editable inputs. Every other sheet pulls from here — change a value and the whole model updates.</t>
  </si>
  <si>
    <t>Colour key: blue = input · black = formula · green = link from another sheet. Basis column: Source = taken from a cited publication · Derived = calculated from cited figures · Benchmark = set against a cited comparison · Target = to be replaced with our user-test result · Design choice = a scenario setting we chose.</t>
  </si>
  <si>
    <t>A. Market size</t>
  </si>
  <si>
    <t>Basis [Ref]</t>
  </si>
  <si>
    <t>Micro enterprises in Malaysia (2023)</t>
  </si>
  <si>
    <t>firms</t>
  </si>
  <si>
    <t>Latest establishment count (2023 profile). MSMEs were 39.7% of GDP in 2025 [40].</t>
  </si>
  <si>
    <t>Source [1][40]</t>
  </si>
  <si>
    <t>Small enterprises in Malaysia (2023)</t>
  </si>
  <si>
    <t>Total addressable market (TAM) context.</t>
  </si>
  <si>
    <t>Source [1]</t>
  </si>
  <si>
    <t>MSMEs in manufacturing (2023)</t>
  </si>
  <si>
    <t>Energy-heavy: 84% of manufacturers rank energy management a key priority [16].</t>
  </si>
  <si>
    <t>Food &amp; beverage service establishments</t>
  </si>
  <si>
    <t>Energy-heavy: cooking, refrigeration and aircon run all day.</t>
  </si>
  <si>
    <t>Source [2]</t>
  </si>
  <si>
    <t>Serviceable addressable market (SAM)</t>
  </si>
  <si>
    <t>Formula: manufacturing MSMEs + F&amp;B establishments (the two most electricity-intensive customer groups).</t>
  </si>
  <si>
    <t>Derived [1][2]</t>
  </si>
  <si>
    <t>B. Adoption funnel (by year)</t>
  </si>
  <si>
    <t>Y1</t>
  </si>
  <si>
    <t>Y2</t>
  </si>
  <si>
    <t>Y3</t>
  </si>
  <si>
    <t>Y4</t>
  </si>
  <si>
    <t>Y5</t>
  </si>
  <si>
    <t>Unit</t>
  </si>
  <si>
    <t>Source / note</t>
  </si>
  <si>
    <t>Active Customers using GreenReady (base case)</t>
  </si>
  <si>
    <t>Customers</t>
  </si>
  <si>
    <t>Y1 pilot of 300 is half of the 600+ SMEs one bank (RHB) engaged in a single quarter [18]. Y5 = about 5% of SAM, reached through Orbyte's existing customer users.</t>
  </si>
  <si>
    <t>Benchmark [18]</t>
  </si>
  <si>
    <t>Volume scenario multiplier</t>
  </si>
  <si>
    <t>×</t>
  </si>
  <si>
    <t>Scenario lever: 80% = low case, 120% = high case.</t>
  </si>
  <si>
    <t>Scenario lever</t>
  </si>
  <si>
    <t>TNB bills per customer per year</t>
  </si>
  <si>
    <t>bills</t>
  </si>
  <si>
    <t>TNB bills every month — this is the recurring burden.</t>
  </si>
  <si>
    <t>Source [37]</t>
  </si>
  <si>
    <t>Monthly active rate (bills analysed)</t>
  </si>
  <si>
    <t>%</t>
  </si>
  <si>
    <t>Share of monthly bills analysed. Bills arrive automatically when staff submit the TNB bill through Orbyte eClaim, or the owner forwards it. Design target; confirm in the pilot.</t>
  </si>
  <si>
    <t>Target — pilot</t>
  </si>
  <si>
    <t>Preparation Pack rate (% of active customers per year)</t>
  </si>
  <si>
    <t>Paid conversion is 8–12% in the top quartile of freemium products and ~25% when the purchase follows a clear usage trigger [42]. Here the trigger is a bill showing an upgrade worth doing; 48% of SMEs are seeking efficiency technology [16]. 20% sits below the trigger-based benchmark. Most sensitive assumption — test in the pilot.</t>
  </si>
  <si>
    <t>Benchmark [16][42]</t>
  </si>
  <si>
    <t>Listing rate (% of packs put on the Opportunity Board)</t>
  </si>
  <si>
    <t>48% of SMEs self-fund green initiatives [17], so the other 52% look for outside funding or partners.</t>
  </si>
  <si>
    <t>Derived [17]</t>
  </si>
  <si>
    <t>Upgrade completion rate (% of listings per year)</t>
  </si>
  <si>
    <t>52% of non-adopters plan to act within two years [17] ⇒ about 26% a year.</t>
  </si>
  <si>
    <t>Accepted supplier connections per listing</t>
  </si>
  <si>
    <t>connections</t>
  </si>
  <si>
    <t>Lead marketplaces share each lead with 3–5 installers [19]; 1.5 accepted is conservative.</t>
  </si>
  <si>
    <t>Benchmark [19]</t>
  </si>
  <si>
    <t>Paying investor / bank subscribers</t>
  </si>
  <si>
    <t>partners</t>
  </si>
  <si>
    <t>Malaysia has 27 commercial and 16 Islamic banks [23], plus DFIs that deliver green customer facilities such as LCTF [24]. Y5 = 18 is under half of the banks alone.</t>
  </si>
  <si>
    <t>Benchmark [23][24]</t>
  </si>
  <si>
    <t>C. Customer time value</t>
  </si>
  <si>
    <t>Clerical support worker median wage</t>
  </si>
  <si>
    <t>RM/month</t>
  </si>
  <si>
    <t>Conservative value of time spent on bills (owner time is worth more).</t>
  </si>
  <si>
    <t>Source [14]</t>
  </si>
  <si>
    <t>Maximum working hours per week</t>
  </si>
  <si>
    <t>hours</t>
  </si>
  <si>
    <t>Employment Act limit.</t>
  </si>
  <si>
    <t>Source [15]</t>
  </si>
  <si>
    <t>Working hours per month</t>
  </si>
  <si>
    <t>Formula: weekly hours × 52 ÷ 12.</t>
  </si>
  <si>
    <t>Derived [15]</t>
  </si>
  <si>
    <t>Value of one hour of admin time</t>
  </si>
  <si>
    <t>RM/hour</t>
  </si>
  <si>
    <t>Formula: monthly wage ÷ monthly hours.</t>
  </si>
  <si>
    <t>Derived [14][15]</t>
  </si>
  <si>
    <t>Manual bill check time</t>
  </si>
  <si>
    <t>minutes</t>
  </si>
  <si>
    <t>SME owners spend about 11 hours a week on admin and finance tasks (2026 survey) [35]. Replace with the timed spreadsheet test from the demo.</t>
  </si>
  <si>
    <t>Target — user test</t>
  </si>
  <si>
    <t>GreenReady bill check time</t>
  </si>
  <si>
    <t>Forward bill, read summary. Replace with the timed demo result.</t>
  </si>
  <si>
    <t>Manual upgrade evaluation per pack</t>
  </si>
  <si>
    <t>Compare quotes and work out savings and payback in a spreadsheet. Replace with the timed test.</t>
  </si>
  <si>
    <t>GreenReady upgrade evaluation per pack</t>
  </si>
  <si>
    <t>Review and approve the generated pack.</t>
  </si>
  <si>
    <t>D. Energy and carbon</t>
  </si>
  <si>
    <t>TNB energy charge (Low Voltage General)</t>
  </si>
  <si>
    <t>RM/kWh</t>
  </si>
  <si>
    <t>Tariff schedule from 1 Jul 2025.</t>
  </si>
  <si>
    <t>Source [3]</t>
  </si>
  <si>
    <t>TNB capacity charge</t>
  </si>
  <si>
    <t>TNB network charge</t>
  </si>
  <si>
    <t>Variable tariff used for savings</t>
  </si>
  <si>
    <t>Formula: energy + capacity + network. Base rates fixed to 31 Dec 2027 [39]. Excludes AFA (+3.61 sen/kWh in Oct 2026) [39], retail charge and tax, so savings are understated.</t>
  </si>
  <si>
    <t>Derived [3][39]</t>
  </si>
  <si>
    <t>Grid emission factor, Peninsular Malaysia 2024</t>
  </si>
  <si>
    <t>kg CO2e/kWh</t>
  </si>
  <si>
    <t>Provisional, subject to government endorsement.</t>
  </si>
  <si>
    <t>Source [4]</t>
  </si>
  <si>
    <t>Share of upgrade savings credited to GreenReady</t>
  </si>
  <si>
    <t>48% of SMEs already look for efficiency technology on their own [16], so GreenReady is one driver among several. Only a quarter of savings is claimed.</t>
  </si>
  <si>
    <t>Design choice [16]</t>
  </si>
  <si>
    <t>First-year installation factor</t>
  </si>
  <si>
    <t>Mid-year convention: upgrades finish evenly through the year, so they save half a year in the year installed.</t>
  </si>
  <si>
    <t>Method [33]</t>
  </si>
  <si>
    <t>E. Green equipment upgrades — what an 'upgrade' means</t>
  </si>
  <si>
    <t>An 'upgrade' is energy-saving equipment a customer buys after using GreenReady: LED lighting, inverter air-conditioners or rooftop solar. GreenReady does not sell the equipment. It checks which option pays off and connects the customer to suppliers and funders. Upgrades feed the model in two places only: the customer's electricity savings (Benefits) and CO2e avoided. GreenReady's own income comes from fees, not from the equipment.</t>
  </si>
  <si>
    <t>Operating days per year (all upgrades)</t>
  </si>
  <si>
    <t>days</t>
  </si>
  <si>
    <t>6-day week × 52 weeks (Employment Act gives one rest day a week).</t>
  </si>
  <si>
    <t>LED: number of tubes replaced</t>
  </si>
  <si>
    <t>tubes</t>
  </si>
  <si>
    <t>A typical small shop or workshop ceiling (about 20 twin-tube fittings).</t>
  </si>
  <si>
    <t>Design choice</t>
  </si>
  <si>
    <t>LED: fluorescent T8 tube power</t>
  </si>
  <si>
    <t>W</t>
  </si>
  <si>
    <t>Standard 4 ft T8 fluorescent rating.</t>
  </si>
  <si>
    <t>Design choice [6]</t>
  </si>
  <si>
    <t>LED: LED T8 tube power</t>
  </si>
  <si>
    <t>Philips Ecofit 4 ft LED T8 is 18 W [7] (50% less power); a 2026 Malaysian retrofit measured 44.7% savings [6].</t>
  </si>
  <si>
    <t>Source [6][7]</t>
  </si>
  <si>
    <t>LED: operating hours per day</t>
  </si>
  <si>
    <t>Typical shop opening hours (e.g. 10am–10pm).</t>
  </si>
  <si>
    <t>LED: price per tube</t>
  </si>
  <si>
    <t>RM/tube</t>
  </si>
  <si>
    <t>Philips Ecofit LED T8 18W retail price.</t>
  </si>
  <si>
    <t>Source [7]</t>
  </si>
  <si>
    <t>LED: installation labour per fitting</t>
  </si>
  <si>
    <t>Fluorescent fixture replacement rate, KL/Selangor.</t>
  </si>
  <si>
    <t>Source [8]</t>
  </si>
  <si>
    <t>LED: installed cost per tube</t>
  </si>
  <si>
    <t>Formula: tube price + labour.</t>
  </si>
  <si>
    <t>Derived [7][8]</t>
  </si>
  <si>
    <t>Aircon: units replaced</t>
  </si>
  <si>
    <t>units</t>
  </si>
  <si>
    <t>A small office or shop with three wall units.</t>
  </si>
  <si>
    <t>Aircon: input power of old 1.5HP non-inverter unit</t>
  </si>
  <si>
    <t>kW</t>
  </si>
  <si>
    <t>LG 1.5HP non-inverter: 1,020 W cooling input.</t>
  </si>
  <si>
    <t>Source [9]</t>
  </si>
  <si>
    <t>Aircon: operating hours per day</t>
  </si>
  <si>
    <t>Business hours with cooling on.</t>
  </si>
  <si>
    <t>Aircon: saving from inverter unit</t>
  </si>
  <si>
    <t>Inverter units use 33% less electricity on average [5]; inverter units now 30–65% of Malaysian sales (2025) [38].</t>
  </si>
  <si>
    <t>Source [5][38]</t>
  </si>
  <si>
    <t>Aircon: 1.5HP inverter unit price</t>
  </si>
  <si>
    <t>RM/unit</t>
  </si>
  <si>
    <t>Midpoint of the RM1,200–2,500 range.</t>
  </si>
  <si>
    <t>Source [10]</t>
  </si>
  <si>
    <t>Aircon: installation per unit</t>
  </si>
  <si>
    <t>1.5HP wall unit installation, KL/Selangor.</t>
  </si>
  <si>
    <t>Source [11]</t>
  </si>
  <si>
    <t>Aircon: installed cost per unit</t>
  </si>
  <si>
    <t>Formula: unit price + installation.</t>
  </si>
  <si>
    <t>Derived [10][11]</t>
  </si>
  <si>
    <t>Solar: system size</t>
  </si>
  <si>
    <t>kWp</t>
  </si>
  <si>
    <t>Matches the proposal's worked example (small factory roof).</t>
  </si>
  <si>
    <t>Solar: specific yield</t>
  </si>
  <si>
    <t>kWh/kWp/yr</t>
  </si>
  <si>
    <t>Between 1,204 (Kuala Lumpur rooftop, 2026) [12] and ≈1,370 kWh/kWp (Selangor, 2023) [41].</t>
  </si>
  <si>
    <t>Source [12][41]</t>
  </si>
  <si>
    <t>Solar: self-consumption share</t>
  </si>
  <si>
    <t>Same simplification as the proposal. Lower it (e.g. 80%) if part of the output is exported.</t>
  </si>
  <si>
    <t>Solar: installed cost per kWp</t>
  </si>
  <si>
    <t>RM/kWp</t>
  </si>
  <si>
    <t>19.84 kWp systems sell at ≈ RM1,789/kWp [13]; RM2,000 adds a margin for commercial roofs.</t>
  </si>
  <si>
    <t>Benchmark [13]</t>
  </si>
  <si>
    <t>Upgrade mix: LED</t>
  </si>
  <si>
    <t>Cheapest and fastest payback, so the most common first step.</t>
  </si>
  <si>
    <t>Upgrade mix: inverter aircon</t>
  </si>
  <si>
    <t>Mid-cost upgrade.</t>
  </si>
  <si>
    <t>Upgrade mix: solar</t>
  </si>
  <si>
    <t>Highest cost, so the smallest share. The three shares must add up to 100% (checked on Upgrade_Calc).</t>
  </si>
  <si>
    <t>F. Costs (what GreenReady spends)</t>
  </si>
  <si>
    <t>Exchange rate (USD)</t>
  </si>
  <si>
    <t>RM per USD</t>
  </si>
  <si>
    <t>BNM closing buying rate, 6 Oct 2026.</t>
  </si>
  <si>
    <t>Source [20]</t>
  </si>
  <si>
    <t>GPU price (serverless 24GB, L4 / A5000)</t>
  </si>
  <si>
    <t>USD/hour</t>
  </si>
  <si>
    <t>Pay per second of use.</t>
  </si>
  <si>
    <t>Source [25]</t>
  </si>
  <si>
    <t>GPU time per document read</t>
  </si>
  <si>
    <t>seconds</t>
  </si>
  <si>
    <t>A 7B vision model reads a document in 3.5 s on an A100 [26]; 20 s allows for a slower L4 GPU and cold starts.</t>
  </si>
  <si>
    <t>Benchmark [26]</t>
  </si>
  <si>
    <t>Supplier quotes read per pack (average)</t>
  </si>
  <si>
    <t>documents</t>
  </si>
  <si>
    <t>Quotes are optional (bill-only mode is the default); average of one per pack.</t>
  </si>
  <si>
    <t>Billable WhatsApp messages per active customer per year</t>
  </si>
  <si>
    <t>messages</t>
  </si>
  <si>
    <t>Replies inside the 24-hour window are free [27]; assume one paid monthly reminder.</t>
  </si>
  <si>
    <t>Derived [27]</t>
  </si>
  <si>
    <t>WhatsApp utility message price (Malaysia)</t>
  </si>
  <si>
    <t>USD/message</t>
  </si>
  <si>
    <t>Approximate; confirm on Meta's rate card.</t>
  </si>
  <si>
    <t>Source [28]</t>
  </si>
  <si>
    <t>Database and storage (Supabase Pro, small production)</t>
  </si>
  <si>
    <t>USD/month</t>
  </si>
  <si>
    <t>Pro plan USD25 plus compute and storage ≈ USD36.</t>
  </si>
  <si>
    <t>Source [29]</t>
  </si>
  <si>
    <t>App server, monitoring and domain</t>
  </si>
  <si>
    <t>Allowance for the FastAPI server and uptime monitoring.</t>
  </si>
  <si>
    <t>Cloud hosting — base per year</t>
  </si>
  <si>
    <t>RM/year</t>
  </si>
  <si>
    <t>Formula: (database + app server) × 12 × RM per USD.</t>
  </si>
  <si>
    <t>Derived [20][29]</t>
  </si>
  <si>
    <t>Cloud hosting — per active customer</t>
  </si>
  <si>
    <t>RM/customer/year</t>
  </si>
  <si>
    <t>Extra storage for bills and packs as users grow.</t>
  </si>
  <si>
    <t>Team size (full-time equivalents)</t>
  </si>
  <si>
    <t>FTE</t>
  </si>
  <si>
    <t>Extra staff Orbyte adds for this module. Lean in Y1–Y2 because Orbyte's existing team already runs login, roles, the credit wallet, notifications and the audit log; only the bill reader, rules engine and Opportunity Board are new. Grows in Y4–Y5 for SME support and bank and supplier account management.</t>
  </si>
  <si>
    <t>Business plan</t>
  </si>
  <si>
    <t>Professional median wage</t>
  </si>
  <si>
    <t>Used for developers and business staff.</t>
  </si>
  <si>
    <t>Employer EPF</t>
  </si>
  <si>
    <t>Rate for wages above RM5,000.</t>
  </si>
  <si>
    <t>Source [30]</t>
  </si>
  <si>
    <t>Employer SOCSO</t>
  </si>
  <si>
    <t>Employer EIS</t>
  </si>
  <si>
    <t>Customer acquisition cost per new customer</t>
  </si>
  <si>
    <t>RM/new customer</t>
  </si>
  <si>
    <t>Standalone self-serve SaaS spends ≈ USD200 per customer [22]. As an Orbyte module, GreenReady is offered in-app and in eClaim to SMEs already on Orbyte; the RM10 free credit (counted as lost income) is the main incentive, so only in-app promotion and onboarding are costed here.</t>
  </si>
  <si>
    <t>Benchmark [22]</t>
  </si>
  <si>
    <t>Compliance and legal (PDPA, licensing advice)</t>
  </si>
  <si>
    <t>PDPA now requires a data protection officer and breach notification (from 1 Jun 2025) [31]. Y1 adds Securities Commission licensing advice.</t>
  </si>
  <si>
    <t>Benchmark [31]</t>
  </si>
  <si>
    <t>One-time module hardening and security test (Y1)</t>
  </si>
  <si>
    <t>RM</t>
  </si>
  <si>
    <t>Module-level penetration test and hardening (RM5k–150k+ in Malaysia, by scope) [32]. Orbyte's login, roles and platform security are reused, so the scope is the GreenReady module only.</t>
  </si>
  <si>
    <t>Benchmark [32]</t>
  </si>
  <si>
    <t>Partnerships and events</t>
  </si>
  <si>
    <t>Onboarding banks and suppliers.</t>
  </si>
  <si>
    <t>G. Pricing (what GreenReady charges)</t>
  </si>
  <si>
    <t>Pay-per-use: price per bill analysis</t>
  </si>
  <si>
    <t>RM/analysis</t>
  </si>
  <si>
    <t>About half the admin time a customer saves per bill (17 min × RM13.81/hour ≈ RM3.91, rows above), so the customer keeps the other half. Cost to GreenReady is about RM0.02 per bill (AI reading).</t>
  </si>
  <si>
    <t>Free starting credit per company (one-time, SSM-verified)</t>
  </si>
  <si>
    <t>Orbyte credit added once per company account (one account per SSM registration number). RM10 = 5 free analyses.</t>
  </si>
  <si>
    <t>Free analyses per new company</t>
  </si>
  <si>
    <t>analyses</t>
  </si>
  <si>
    <t>Formula: free credit ÷ price per analysis.</t>
  </si>
  <si>
    <t>Formula</t>
  </si>
  <si>
    <t>Average top-up for pay-per-use credit</t>
  </si>
  <si>
    <t>RM/top-up</t>
  </si>
  <si>
    <t>Orbyte credit wallet top-up; prepaid credit keeps gateway fees low.</t>
  </si>
  <si>
    <t>RM/pack</t>
  </si>
  <si>
    <t>Paid from the Orbyte credit wallet when the owner wants to act on an upgrade: 6-month checked bill summary, upgrade comparison, anonymous listing and 90 days of investor and supplier connections. Usage-based like Orbyte's other modules (eClaim per request, eSign per document) [44]. Below entry-level SME cloud accounting for one month (RM35–135) [21] plus the evaluation time saved, and far below a carbon audit (RM20k–50k) [36].</t>
  </si>
  <si>
    <t>Benchmark [21][36][44]</t>
  </si>
  <si>
    <t>Payment gateway fee (percentage)</t>
  </si>
  <si>
    <t>Stripe FPX 3% + RM1.00 per transaction [43]; local gateways are cheaper, so this is conservative.</t>
  </si>
  <si>
    <t>Source [43]</t>
  </si>
  <si>
    <t>Payment gateway fee (fixed)</t>
  </si>
  <si>
    <t>RM/transaction</t>
  </si>
  <si>
    <t>Per Orbyte credit top-up [43]; the credit wallet is shared with other Orbyte modules, so only top-ups for GreenReady spend are counted.</t>
  </si>
  <si>
    <t>Exchange rate (AUD)</t>
  </si>
  <si>
    <t>RM per AUD</t>
  </si>
  <si>
    <t>Benchmark: commercial solar lead price (low end)</t>
  </si>
  <si>
    <t>AUD/lead</t>
  </si>
  <si>
    <t>Commercial 50 kW solar leads sell for AUD150–300.</t>
  </si>
  <si>
    <t>Source [19]</t>
  </si>
  <si>
    <t>Benchmark in RM</t>
  </si>
  <si>
    <t>RM/lead</t>
  </si>
  <si>
    <t>Formula: AUD price × RM per AUD.</t>
  </si>
  <si>
    <t>Derived [19][20]</t>
  </si>
  <si>
    <t>Supplier fee per accepted connection</t>
  </si>
  <si>
    <t>RM/connection</t>
  </si>
  <si>
    <t>Below half the low end of the commercial-lead benchmark above, and charged only when the owner accepts.</t>
  </si>
  <si>
    <t>Investor / bank subscription</t>
  </si>
  <si>
    <t>RM30,000 a year is about the cost of acquiring five fintech customers (median CAC &gt; USD1,450 each) [22], for a stream of pre-checked green-loan applicants with 6 months of bill evidence.</t>
  </si>
  <si>
    <t>Perspective: GreenReady is a new module inside Orbyte (Alpha Red Pro Sdn Bhd). Income = new money Orbyte earns from the module; spend = extra cost to build and run it. Orbyte's login, roles, approval workflow, credit wallet and audit log are reused, so they cost nothing extra here.</t>
  </si>
  <si>
    <t>H. Valuation</t>
  </si>
  <si>
    <t>Discount rate (for NPV)</t>
  </si>
  <si>
    <t>Seed-stage startups are usually discounted at 30–45% [34]; the low end is used because the module runs on Orbyte's existing platform.</t>
  </si>
  <si>
    <t>Source [34]</t>
  </si>
  <si>
    <t>Green Equipment Upgrade Calculator — what one typical customer upgrade saves</t>
  </si>
  <si>
    <t>An upgrade = energy-saving equipment the customer buys after using GreenReady (LED lighting, inverter aircon or rooftop solar). GreenReady does not sell it; it shows which one pays off and connects the customer to suppliers and funders. Inputs: Assumptions section E.</t>
  </si>
  <si>
    <t>Upgrade type</t>
  </si>
  <si>
    <t>Annual kWh saved</t>
  </si>
  <si>
    <t>Annual savings (RM)</t>
  </si>
  <si>
    <t>CO2e avoided (t/yr)</t>
  </si>
  <si>
    <t>Installed cost (RM)</t>
  </si>
  <si>
    <t>Simple payback (years)</t>
  </si>
  <si>
    <t>Mix share</t>
  </si>
  <si>
    <t>How kWh is calculated</t>
  </si>
  <si>
    <t>LED lighting</t>
  </si>
  <si>
    <t>tubes × (old W − new W) ÷ 1000 × hours/day × days/year</t>
  </si>
  <si>
    <t>Inverter aircon</t>
  </si>
  <si>
    <t>units × kW × hours/day × days/year × saving %</t>
  </si>
  <si>
    <t>Rooftop solar</t>
  </si>
  <si>
    <t>kWp × specific yield × self-consumption %</t>
  </si>
  <si>
    <t>Weighted average upgrade</t>
  </si>
  <si>
    <t>Mix-weighted; payback = weighted cost ÷ weighted savings</t>
  </si>
  <si>
    <t>Why it matters: the weighted average (row 8) is used on the Benefits sheet to value the electricity savings and CO2e of upgrades the customers complete. Savings = kWh × variable tariff. CO2e = kWh × grid emission factor ÷ 1000. Payback = installed cost ÷ annual savings (no financing cost, no tariff increase).</t>
  </si>
  <si>
    <t>The solar row reproduces the proposal's worked example: 30 kWp × 1,320 kWh/kWp = 39,600 kWh ≈ RM20,069 and 29.3 t CO2e per year.</t>
  </si>
  <si>
    <t>Volumes — Adoption Funnel by Year</t>
  </si>
  <si>
    <t>Active Customers → bills analysed → paid analyses → Preparation Packs → board listings → completed upgrades → supplier connections.</t>
  </si>
  <si>
    <t>Year</t>
  </si>
  <si>
    <t>Active Customers</t>
  </si>
  <si>
    <t>New Customers</t>
  </si>
  <si>
    <t>% of SAM</t>
  </si>
  <si>
    <t>Bills analysed</t>
  </si>
  <si>
    <t>Free analyses used</t>
  </si>
  <si>
    <t>Paid analyses</t>
  </si>
  <si>
    <t>Packs generated</t>
  </si>
  <si>
    <t>Board listings</t>
  </si>
  <si>
    <t>Upgrades completed</t>
  </si>
  <si>
    <t>Cumulative upgrades</t>
  </si>
  <si>
    <t>Upgrades saving this year*</t>
  </si>
  <si>
    <t>5-Year Total</t>
  </si>
  <si>
    <t>* Upgrades saving this year = all upgrades finished in earlier years (full year) + this year's upgrades × first-year installation factor (half year).</t>
  </si>
  <si>
    <t>Bills analysed = active customers × 12 × monthly active rate. Each new company's free credit covers its first analyses; the rest are paid from the Orbyte credit wallet.</t>
  </si>
  <si>
    <t>Active Customers (B) sums customer-years across the 5 years; the number of customers using GreenReady in Year 5 is the Y5 row.</t>
  </si>
  <si>
    <t>1) Benefits — Value Created for Customers</t>
  </si>
  <si>
    <t>Admin hours saved</t>
  </si>
  <si>
    <t>Bill-check time saved (RM)</t>
  </si>
  <si>
    <t>Upgrade-evaluation time saved (RM)</t>
  </si>
  <si>
    <t>Energy savings credited to GreenReady (RM)</t>
  </si>
  <si>
    <t>Total Customer Benefits (RM)</t>
  </si>
  <si>
    <t>CO2e avoided credited (t)</t>
  </si>
  <si>
    <t>Bill-check time saved = bills checked × (manual − GreenReady minutes) ÷ 60 × hourly value of admin time</t>
  </si>
  <si>
    <t>Upgrade-evaluation time saved = packs × (manual − GreenReady hours) × hourly value of admin time</t>
  </si>
  <si>
    <t>Energy savings credited = upgrades saving this year × weighted RM saved per upgrade × share credited to GreenReady (25%)</t>
  </si>
  <si>
    <t>CO2e avoided credited = upgrades saving this year × weighted t CO2e per upgrade × share credited to GreenReady</t>
  </si>
  <si>
    <t>Benefits are value to customers, not cash to GreenReady. The full energy savings of facilitated upgrades are 4× the credited figure.</t>
  </si>
  <si>
    <t>2) Pricing / Income — New Income Orbyte Earns from the GreenReady Module</t>
  </si>
  <si>
    <t>Bill analyses — credit wallet (RM)</t>
  </si>
  <si>
    <t>Preparation Packs — credit wallet (RM)</t>
  </si>
  <si>
    <t>Supplier connection fees (RM)</t>
  </si>
  <si>
    <t>Investor / bank subscriptions (RM)</t>
  </si>
  <si>
    <t>Total Income (RM)</t>
  </si>
  <si>
    <t>Bill analyses = paid analyses × price per analysis, deducted from the Orbyte credit wallet after the free starting credit is used</t>
  </si>
  <si>
    <t>Preparation Packs = packs × pack price (includes 90 days of investor and supplier connections), deducted from the credit wallet</t>
  </si>
  <si>
    <t>Supplier fees = accepted supplier connections × fee per connection (supplier pays only after the owner accepts)</t>
  </si>
  <si>
    <t>Subscriptions = paying investors / banks × monthly fee × 12</t>
  </si>
  <si>
    <t>Usage-based, like Orbyte's other modules: SMEs pay only when they use it. No interest, loan commission or upgrade money passes through Orbyte.</t>
  </si>
  <si>
    <t>3) Spendings — GreenReady's Own Cost to Build and Run the Module</t>
  </si>
  <si>
    <t>AI document reading (RM)</t>
  </si>
  <si>
    <t>WhatsApp messaging (RM)</t>
  </si>
  <si>
    <t>Cloud hosting (RM)</t>
  </si>
  <si>
    <t>Team salaries + statutory (RM)</t>
  </si>
  <si>
    <t>Customer acquisition (RM)</t>
  </si>
  <si>
    <t>Compliance + legal (RM)</t>
  </si>
  <si>
    <t>Partnerships (RM)</t>
  </si>
  <si>
    <t>MVP hardening (RM)</t>
  </si>
  <si>
    <t>Payment processing (RM)</t>
  </si>
  <si>
    <t>Total Spend (RM)</t>
  </si>
  <si>
    <t>AI reading = (bills analysed + packs × quotes per pack) × GPU seconds per document × GPU USD/hour ÷ 3600 × RM per USD</t>
  </si>
  <si>
    <t>Messaging = active customers × billable messages × USD per message × RM per USD</t>
  </si>
  <si>
    <t>Hosting = base + active customers × per-customer cost · Salaries = FTE × median professional wage × 12 × (1 + EPF + SOCSO + EIS)</t>
  </si>
  <si>
    <t>Customer acquisition = new customers that year × cost per new customer · MVP hardening is a one-time Year 1 cost</t>
  </si>
  <si>
    <t>Payment processing = SME credit spent in GreenReady × gateway % + number of credit top-ups × fixed fee</t>
  </si>
  <si>
    <t>AI and messaging costs are tiny per customer; people are the main cost, so margins grow as volume grows.</t>
  </si>
  <si>
    <t>ROI — Year-by-Year and 5-Year Summary</t>
  </si>
  <si>
    <t>GreenReady Net = Income − Spend (RM)</t>
  </si>
  <si>
    <t>Cumulative Net (RM)</t>
  </si>
  <si>
    <t>Fees paid by Customers (RM)</t>
  </si>
  <si>
    <t>Customer Net = Benefits − Fees (RM)</t>
  </si>
  <si>
    <t>Customer ROI (%)</t>
  </si>
  <si>
    <t>5-Year ROI Summary</t>
  </si>
  <si>
    <t>Total Customer benefits (5-yr, RM)</t>
  </si>
  <si>
    <t>Value created for customers</t>
  </si>
  <si>
    <t>Total income (5-yr, RM)</t>
  </si>
  <si>
    <t>Paid by customers, suppliers and investors</t>
  </si>
  <si>
    <t>Total spend (5-yr, RM)</t>
  </si>
  <si>
    <t>GreenReady's own costs</t>
  </si>
  <si>
    <t>GreenReady net profit / (loss) (5-yr, RM)</t>
  </si>
  <si>
    <t>GreenReady ROI = (Income − Spend) / Spend</t>
  </si>
  <si>
    <t>Return on GreenReady's own spending over 5 years</t>
  </si>
  <si>
    <t>Customer ROI = (Benefits − Customer fees) / Customer fees</t>
  </si>
  <si>
    <t>Return customers earn on what they pay (analyses + Preparation Packs, 5-yr)</t>
  </si>
  <si>
    <t>Year-5 operating margin = Y5 net / Y5 income</t>
  </si>
  <si>
    <t>Shows the business once it has scaled</t>
  </si>
  <si>
    <t>First year with positive cumulative net (vendor)</t>
  </si>
  <si>
    <t>Cumulative break-even year</t>
  </si>
  <si>
    <t>First year with positive annual net (vendor)</t>
  </si>
  <si>
    <t>Operating break-even year</t>
  </si>
  <si>
    <t>First year customers gain more than they pay</t>
  </si>
  <si>
    <t>Customer break-even year</t>
  </si>
  <si>
    <t>Break-Even Check</t>
  </si>
  <si>
    <t>Break-even pack price needed (RM)</t>
  </si>
  <si>
    <t>Pack price at which 5-yr income equals 5-yr spend, holding the other fees fixed</t>
  </si>
  <si>
    <t>Pack price needed if supplier and investor fees were zero (RM)</t>
  </si>
  <si>
    <t>Stress test: income from SMEs alone must cover all spend</t>
  </si>
  <si>
    <t>Current pack price (RM)</t>
  </si>
  <si>
    <t>Net Present Value (NPV) — GreenReady Cash Flows</t>
  </si>
  <si>
    <t>Net cash flow (RM)</t>
  </si>
  <si>
    <t>Discount factor</t>
  </si>
  <si>
    <t>Present value (RM)</t>
  </si>
  <si>
    <t>Net Present Value (NPV)</t>
  </si>
  <si>
    <t>NPV discounts each year's net cash flow to today's value at the discount rate on Assumptions. Year-end cash flows assumed.</t>
  </si>
  <si>
    <t>Orbyte GreenReady — 5-Year Financial Projection</t>
  </si>
  <si>
    <t>Source: ROI sheet rows 5–9 (formula-linked; charts update when assumptions change).</t>
  </si>
  <si>
    <t>Business Model — who pays, for what, and why it works</t>
  </si>
  <si>
    <t>Canvas text is descriptive; every number links to the model, so it updates when Assumptions change.</t>
  </si>
  <si>
    <t>Canvas block</t>
  </si>
  <si>
    <t>GreenReady</t>
  </si>
  <si>
    <t>Key figure</t>
  </si>
  <si>
    <t>Link</t>
  </si>
  <si>
    <t>Customer segments</t>
  </si>
  <si>
    <t>Micro and small SMEs in manufacturing and F&amp;B (energy-heavy); green investors and banks; SEDA-registered and equipment suppliers; Orbyte as platform partner</t>
  </si>
  <si>
    <t>SAM (firms)</t>
  </si>
  <si>
    <t>Value proposition — Customer</t>
  </si>
  <si>
    <t>Bill check in minutes, paid per use from the Orbyte credit wallet; a bank-ready Preparation Pack with 90 days of investor and supplier connections when the owner is ready to upgrade</t>
  </si>
  <si>
    <t>Customer ROI (%, 5-yr)</t>
  </si>
  <si>
    <t>Value proposition — Investor</t>
  </si>
  <si>
    <t>Pre-checked, anonymised green deal-flow matched to the investor's own criteria</t>
  </si>
  <si>
    <t>Subscription (RM/yr)</t>
  </si>
  <si>
    <t>Value proposition — Supplier</t>
  </si>
  <si>
    <t>Qualified leads backed by real bill data; pay only when the owner accepts</t>
  </si>
  <si>
    <t>Fee per connection (RM)</t>
  </si>
  <si>
    <t>Value proposition — Orbyte</t>
  </si>
  <si>
    <t>A new usage-based module that brings a monthly reason to open Orbyte, more credit-wallet spend and new partner income from banks and suppliers</t>
  </si>
  <si>
    <t>5-yr new income (RM)</t>
  </si>
  <si>
    <t>Channels</t>
  </si>
  <si>
    <t>Inside Orbyte (in-app launch to existing customers), WhatsApp bill forwarding, partner web portal, bank SME units, supplier associations</t>
  </si>
  <si>
    <t>CAC per new customer (RM)</t>
  </si>
  <si>
    <t>Customer relationships</t>
  </si>
  <si>
    <t>Self-serve inside Orbyte: free starting credit, then pay per use; owner approves every listing and connection through Orbyte's approval workflow</t>
  </si>
  <si>
    <t>Pack rate (%)</t>
  </si>
  <si>
    <t>Revenue streams</t>
  </si>
  <si>
    <t>Credit-wallet spend on analyses and packs (SME) · connection fee (supplier) · subscription (investor)</t>
  </si>
  <si>
    <t>Key resources</t>
  </si>
  <si>
    <t>Rules engine and bill reader, verified bill dataset, partner network; reused Orbyte Connect, credit wallet, eClaim, eSign and audit log</t>
  </si>
  <si>
    <t>Bills analysed (5-yr)</t>
  </si>
  <si>
    <t>Key activities</t>
  </si>
  <si>
    <t>Bill extraction and validation, savings calculation, listing and matching, partner onboarding</t>
  </si>
  <si>
    <t>Packs generated (5-yr)</t>
  </si>
  <si>
    <t>Key partners</t>
  </si>
  <si>
    <t>Alpha Red / Orbyte (platform and distribution); licensed banks and DFIs; SEDA-registered PV providers and equipment dealers; Energy Commission data (tariff, grid factor)</t>
  </si>
  <si>
    <t>Paying investors (Y5)</t>
  </si>
  <si>
    <t>Cost structure</t>
  </si>
  <si>
    <t>People (lean team on Orbyte's platform), acquisition, compliance (PDPA), hosting, AI reading and payment processing</t>
  </si>
  <si>
    <t>5-yr spend (RM)</t>
  </si>
  <si>
    <t>Revenue mix (5-year)</t>
  </si>
  <si>
    <t>Who pays · when</t>
  </si>
  <si>
    <t>Share of income</t>
  </si>
  <si>
    <t>Bill analyses</t>
  </si>
  <si>
    <t>SME · per bill, from the credit wallet after the free credit</t>
  </si>
  <si>
    <t>Preparation Pack + partner access</t>
  </si>
  <si>
    <t>SME · per pack, from the credit wallet</t>
  </si>
  <si>
    <t>Supplier connection fee</t>
  </si>
  <si>
    <t>Supplier · only when the owner accepts</t>
  </si>
  <si>
    <t>Investor subscription</t>
  </si>
  <si>
    <t>Bank / investor · monthly</t>
  </si>
  <si>
    <t>Unit economics</t>
  </si>
  <si>
    <t>Measure</t>
  </si>
  <si>
    <t>How it is calculated</t>
  </si>
  <si>
    <t>Year 5 value</t>
  </si>
  <si>
    <t>Customer revenue per active customer</t>
  </si>
  <si>
    <t>(analyses + packs + supplier fees) ÷ active customers, Y5</t>
  </si>
  <si>
    <t>Customer acquisition cost</t>
  </si>
  <si>
    <t>Assumption (in-app promotion via Orbyte)</t>
  </si>
  <si>
    <t>CAC payback</t>
  </si>
  <si>
    <t>CAC ÷ monthly revenue per customer</t>
  </si>
  <si>
    <t>months</t>
  </si>
  <si>
    <t>Customer ROI (Y5)</t>
  </si>
  <si>
    <t>(benefits − customer fees) ÷ customer fees, Y5</t>
  </si>
  <si>
    <t>Run cost per active customer</t>
  </si>
  <si>
    <t>(AI reading + messaging + hosting) ÷ active customers, Y5</t>
  </si>
  <si>
    <t>Margin per paid analysis</t>
  </si>
  <si>
    <t>price − AI reading cost per bill</t>
  </si>
  <si>
    <t>Investor subscription vs benchmark</t>
  </si>
  <si>
    <t>RM30k/yr vs acquiring fintech customers (CAC &gt; USD1,450 each)</t>
  </si>
  <si>
    <t>Customers' worth</t>
  </si>
  <si>
    <t>Marketing / Go-to-Market Plan — phases, channels, budget and KPIs</t>
  </si>
  <si>
    <t>Targets and budget link to Volumes and Spendings. Channel descriptions are the plan; budgets are model outputs.</t>
  </si>
  <si>
    <t>Phase</t>
  </si>
  <si>
    <t>Y1 Pilot</t>
  </si>
  <si>
    <t>Y2 Launch</t>
  </si>
  <si>
    <t>Y3 Scale</t>
  </si>
  <si>
    <t>Y4 Expand</t>
  </si>
  <si>
    <t>Y5 Expand</t>
  </si>
  <si>
    <t>Notes</t>
  </si>
  <si>
    <t>Objective</t>
  </si>
  <si>
    <t>Prove the journey with pilot customers in Klang Valley</t>
  </si>
  <si>
    <t>In-app launch to existing Orbyte users</t>
  </si>
  <si>
    <t>Scale in manufacturing and F&amp;B</t>
  </si>
  <si>
    <t>Extend to other states</t>
  </si>
  <si>
    <t>Add new upgrade types</t>
  </si>
  <si>
    <t>From Volumes</t>
  </si>
  <si>
    <t>New Customers acquired</t>
  </si>
  <si>
    <t>Paying investors</t>
  </si>
  <si>
    <t>From Assumptions</t>
  </si>
  <si>
    <t>Preparation Packs</t>
  </si>
  <si>
    <t>Accepted supplier connections</t>
  </si>
  <si>
    <t>Main channels</t>
  </si>
  <si>
    <t>Orbyte pilot group, 2 founding banks, 5–10 SEDA-registered suppliers</t>
  </si>
  <si>
    <t>Orbyte in-app launch + eClaim trigger + WhatsApp onboarding</t>
  </si>
  <si>
    <t>Bank SME units, supplier associations, SME events</t>
  </si>
  <si>
    <t>Regional supplier partners</t>
  </si>
  <si>
    <t>Industry associations</t>
  </si>
  <si>
    <t>Marketing budget (RM)</t>
  </si>
  <si>
    <t>Customer acquisition</t>
  </si>
  <si>
    <t>New Customers × CAC</t>
  </si>
  <si>
    <t>Partnerships &amp; events</t>
  </si>
  <si>
    <t>Fixed per year</t>
  </si>
  <si>
    <t>Total marketing</t>
  </si>
  <si>
    <t>Marketing as % of income</t>
  </si>
  <si>
    <t>Marketing cost per new customer</t>
  </si>
  <si>
    <t>KPI targets</t>
  </si>
  <si>
    <t>KPI</t>
  </si>
  <si>
    <t>Target</t>
  </si>
  <si>
    <t>Why it matters</t>
  </si>
  <si>
    <t>Pack rate</t>
  </si>
  <si>
    <t>Customers moving from bill checks to upgrade planning and partner access</t>
  </si>
  <si>
    <t>Listing rate (of packs)</t>
  </si>
  <si>
    <t>Customers willing to be found by investors and suppliers</t>
  </si>
  <si>
    <t>Upgrade completion (of listings / yr)</t>
  </si>
  <si>
    <t>Real-world impact and supplier value</t>
  </si>
  <si>
    <t>Accepted connections per listing</t>
  </si>
  <si>
    <t>Supplier lead quality</t>
  </si>
  <si>
    <t>Bill-check time (minutes)</t>
  </si>
  <si>
    <t>Productivity claim — prove in user test</t>
  </si>
  <si>
    <t>Monthly active rate</t>
  </si>
  <si>
    <t>Share of monthly bills analysed (eClaim trigger or forwarded bill)</t>
  </si>
  <si>
    <t>Channel plan</t>
  </si>
  <si>
    <t>Channel</t>
  </si>
  <si>
    <t>Audience</t>
  </si>
  <si>
    <t>Tactic</t>
  </si>
  <si>
    <t>Success measure</t>
  </si>
  <si>
    <t>Orbyte in-app</t>
  </si>
  <si>
    <t>Existing Orbyte customers</t>
  </si>
  <si>
    <t>In-app prompt in Orbyte and eClaim; RM10 free starting credit in the wallet</t>
  </si>
  <si>
    <t>New Customers per month</t>
  </si>
  <si>
    <t>WhatsApp</t>
  </si>
  <si>
    <t>SME owners and staff</t>
  </si>
  <si>
    <t>Forward bill → instant summary; referral link</t>
  </si>
  <si>
    <t>Bills per active customer</t>
  </si>
  <si>
    <t>Bank SME units</t>
  </si>
  <si>
    <t>Banks and DFIs</t>
  </si>
  <si>
    <t>Pilot subscription with 2 founding partners; deal-flow demo</t>
  </si>
  <si>
    <t>Supplier associations</t>
  </si>
  <si>
    <t>SEDA-registered PV providers, aircon and lighting dealers</t>
  </si>
  <si>
    <t>Free listing preview; pay per accepted connection</t>
  </si>
  <si>
    <t>Accepted connections</t>
  </si>
  <si>
    <t>SME events and webinars</t>
  </si>
  <si>
    <t>Manufacturing and F&amp;B owners</t>
  </si>
  <si>
    <t>Live bill-check demo; case study from pilot</t>
  </si>
  <si>
    <t>Sign-ups per event</t>
  </si>
  <si>
    <t>References</t>
  </si>
  <si>
    <t>Ref</t>
  </si>
  <si>
    <t>What it supports</t>
  </si>
  <si>
    <t>[1]</t>
  </si>
  <si>
    <t>SME Corp Malaysia (DOSM data) — Profile of MSMEs 2023: 767,421 micro, 314,465 small; 59,316 MSMEs in manufacturing</t>
  </si>
  <si>
    <t>https://smecorp.gov.my/index.php/en/policies/2020-02-11-08-01-24/profile-and-importance-to-the-economy</t>
  </si>
  <si>
    <t>[2]</t>
  </si>
  <si>
    <t>DOSM — Economic Census 2023, Food &amp; Beverage Services: 136,453 establishments</t>
  </si>
  <si>
    <t>https://www.dosm.gov.my/portal-main/release-content/economic-census-2023-food-and-beverage-services-sector</t>
  </si>
  <si>
    <t>[3]</t>
  </si>
  <si>
    <t>Plus Xnergy — July 2025 TNB tariff: Low Voltage General energy RM0.2703, capacity RM0.0883, network RM0.1482 per kWh</t>
  </si>
  <si>
    <t>https://www.plusxnergy.com/?p=2574</t>
  </si>
  <si>
    <t>[4]</t>
  </si>
  <si>
    <t>Energy Commission — Grid Emission Factor in Malaysia 2022–2024 (Provisional): Peninsular 2024 = 0.740 kg CO2e/kWh</t>
  </si>
  <si>
    <t>https://myenergystats.st.gov.my/documents/d/guest/grid-emission-factor-gef-in-malaysia-2022-2024-provisional-</t>
  </si>
  <si>
    <t>[5]</t>
  </si>
  <si>
    <t>Salleh et al. (2018), IEEE SCOReD, UNITEN — inverter air conditioners use 33% less electricity on average</t>
  </si>
  <si>
    <t>https://irepository.uniten.edu.my/entities/publication/c8d304dd-1a3c-45c0-84d5-eecaeeaf3549/full</t>
  </si>
  <si>
    <t>[6]</t>
  </si>
  <si>
    <t>Green Energy and Fuel Research (Jun 2026) — LED retrofit in a Malaysian university building cut energy 44.7% (70,810 kWh/yr)</t>
  </si>
  <si>
    <t>https://www.sciltp.com/journals/gefr/articles/2603003371</t>
  </si>
  <si>
    <t>[7]</t>
  </si>
  <si>
    <t>Lapasar (Malaysia) — Philips Ecofit LED T8 4ft 18W tube: RM11.11</t>
  </si>
  <si>
    <t>https://mall.lapasar.com/products/201519</t>
  </si>
  <si>
    <t>[8]</t>
  </si>
  <si>
    <t>Recommend.my — electrical service prices (KL/Selangor): fluorescent light fixture RM30 per unit</t>
  </si>
  <si>
    <t>https://recommend.my/blog/?p=19104</t>
  </si>
  <si>
    <t>[9]</t>
  </si>
  <si>
    <t>LG Malaysia — 1.5HP non-inverter air conditioner BS-C126HYA0: cooling power input 1,020 W</t>
  </si>
  <si>
    <t>https://www.lg.com/my/residential-air-conditioners/single-split-air-conditioners/bs-c126hya0/</t>
  </si>
  <si>
    <t>[10]</t>
  </si>
  <si>
    <t>Haier Malaysia (Mar 2026) — 1.5HP inverter air conditioner price RM1,200–2,500</t>
  </si>
  <si>
    <t>https://www.haier.com/my/about-haier/articles/20260326_288449.shtml</t>
  </si>
  <si>
    <t>[11]</t>
  </si>
  <si>
    <t>Recommend.my — air-conditioner installation: 1.5HP wall unit RM350</t>
  </si>
  <si>
    <t>https://www.recommend.my/service/air-conditioning</t>
  </si>
  <si>
    <t>[12]</t>
  </si>
  <si>
    <t>EPJ Web of Conferences (2026) — 23.4 kWp rooftop PV in Kuala Lumpur: 28,185 kWh/year (≈1,204 kWh/kWp)</t>
  </si>
  <si>
    <t>https://www.epj-conferences.org/10.1051/epjconf/202636301023</t>
  </si>
  <si>
    <t>[13]</t>
  </si>
  <si>
    <t>Trexon — Solar panel price Malaysia 2026: 19.84 kWp from RM35,499 (≈RM1,789/kWp)</t>
  </si>
  <si>
    <t>https://trexon.my/blog/solar-panel-price-malaysia-cost-breakdown-2026</t>
  </si>
  <si>
    <t>[14]</t>
  </si>
  <si>
    <t>DOSM Salaries &amp; Wages Survey 2025 (via RinggitPlus): professionals median RM6,124; clerical support RM2,693 per month</t>
  </si>
  <si>
    <t>https://ringgitplus.com/en/blog/education-career/median-salary-climbs-5-3-to-rm2940-in-2025.html</t>
  </si>
  <si>
    <t>[15]</t>
  </si>
  <si>
    <t>NST — Employment Act amendment: maximum working week cut from 48 to 45 hours</t>
  </si>
  <si>
    <t>https://nst.com.my/amp/news/nation/2022/08/821361/weekly-working-hours-reduced-48-45-starting-sept-1</t>
  </si>
  <si>
    <t>[16]</t>
  </si>
  <si>
    <t>UOB Business Outlook Study 2026 (via Business Today, Jun 2026): 48% of SMEs seeking technology to improve energy efficiency; ~40% have installed solar or LED</t>
  </si>
  <si>
    <t>https://www.businesstoday.com.my/2026/06/29/77-of-malaysian-smes-remain-optimistic-as-energy-management-tops-cost-cutting-agenda-study-shows/</t>
  </si>
  <si>
    <t>[17]</t>
  </si>
  <si>
    <t>Alliance Bank ESG 2.0 Report (Jan 2025): 48% of SMEs self-fund ESG initiatives; 52% of non-adopters plan to act within two years</t>
  </si>
  <si>
    <t>https://www.alliancebank.com.my/About-Us/Media-Centre/ESG-Awareness-Among-SMEs-Surges-Sixfold-Alliance-Bank-ESG-2-0-Report</t>
  </si>
  <si>
    <t>[18]</t>
  </si>
  <si>
    <t>RHB Bank (Nov 2024) — first LCTF portfolio guarantee with CGC; engaged over 600 SMEs in Q2 2024</t>
  </si>
  <si>
    <t>https://rhbgroup.com/-/media/Files/others/highlights/media-release/M20241125-1.pdf</t>
  </si>
  <si>
    <t>[19]</t>
  </si>
  <si>
    <t>WhySolar (Australia) — shared solar leads go to 3–5 installers; commercial 50 kW lead AUD150–300</t>
  </si>
  <si>
    <t>https://www.whysolar.com.au/blog/solar-leads-cost-australia</t>
  </si>
  <si>
    <t>[20]</t>
  </si>
  <si>
    <t>Business Today (BNM closing rates, 6 Oct 2026) — USD 1 = RM4.0835; AUD 1 = RM2.8478 (buying)</t>
  </si>
  <si>
    <t>https://www.businesstoday.com.my/2026/10/06/foreign-exchange-rates-oct-6-2026/</t>
  </si>
  <si>
    <t>[21]</t>
  </si>
  <si>
    <t>Bukku — Malaysian SME cloud accounting pricing: RM35–135 per month</t>
  </si>
  <si>
    <t>https://bukku.my/pricing</t>
  </si>
  <si>
    <t>[22]</t>
  </si>
  <si>
    <t>Gripped — B2B SaaS CAC benchmarks 2026: self-serve low-ACV ≈ USD200; median fintech CAC above USD1,450</t>
  </si>
  <si>
    <t>https://gripped.io/b2b-saas/b2b-saas-cac-benchmarks-by-industry-2026/</t>
  </si>
  <si>
    <t>[23]</t>
  </si>
  <si>
    <t>Wikipedia — List of banks in Malaysia: 27 commercial banks, 16 Islamic banks</t>
  </si>
  <si>
    <t>https://en.wikipedia.org/wiki/List_of_banks_in_Malaysia</t>
  </si>
  <si>
    <t>[24]</t>
  </si>
  <si>
    <t>Bank Negara Malaysia — LCTF FAQ: via participating banks and DFIs; up to RM10m, 10 years, max 5% p.a.</t>
  </si>
  <si>
    <t>https://www.bnm.gov.my/lctf2022_en_faq</t>
  </si>
  <si>
    <t>[25]</t>
  </si>
  <si>
    <t>RunPod pricing — Serverless 24GB GPU (L4 / A5000) USD 0.69 per hour</t>
  </si>
  <si>
    <t>https://www.runpod.io/pricing</t>
  </si>
  <si>
    <t>[26]</t>
  </si>
  <si>
    <t>arXiv 2609.15706 (2026) — Qwen2.5-VL-7B document extraction: mean 3.53 s per document on an A100</t>
  </si>
  <si>
    <t>https://arxiv.org/pdf/2609.15706</t>
  </si>
  <si>
    <t>[27]</t>
  </si>
  <si>
    <t>Meta — WhatsApp Business Platform pricing: service and utility messages free inside the customer service window</t>
  </si>
  <si>
    <t>https://developers.facebook.com/docs/whatsapp/pricing</t>
  </si>
  <si>
    <t>[28]</t>
  </si>
  <si>
    <t>Qiscus — WhatsApp API Malaysia: utility message approx. USD 0.0025</t>
  </si>
  <si>
    <t>https://www.qiscus.com/en/blog/whatsapp-api-malaysia/</t>
  </si>
  <si>
    <t>[29]</t>
  </si>
  <si>
    <t>MakerKit — Supabase pricing 2026: Pro USD25/month; small production app ≈ USD36/month</t>
  </si>
  <si>
    <t>https://makerkit.dev/blog/saas/supabase-pricing</t>
  </si>
  <si>
    <t>[30]</t>
  </si>
  <si>
    <t>AJobThing — 2026 employer rates: EPF 12% (wages &gt; RM5,000), SOCSO 1.75%, EIS 0.2%</t>
  </si>
  <si>
    <t>https://www.ajobthing.com/resources/blog/epf-socso-eis-contribution-2026-latest-rates-rules-employer-guide-malaysia</t>
  </si>
  <si>
    <t>[31]</t>
  </si>
  <si>
    <t>DFDL — PDPA (Amendment) Act 2024: data protection officer and breach notification mandatory from 1 Jun 2025</t>
  </si>
  <si>
    <t>https://www.dfdl.com/insights/legal-and-tax-updates/malaysia-implementation-of-the-personal-data-protection-amendment-act-2024/</t>
  </si>
  <si>
    <t>[32]</t>
  </si>
  <si>
    <t>DeepStrike — penetration testing in Malaysia: roughly RM5,000 to RM150,000+ by scope</t>
  </si>
  <si>
    <t>https://deepstrike.io/blog/penetration-testing-companies-malaysia</t>
  </si>
  <si>
    <t>[33]</t>
  </si>
  <si>
    <t>Wall Street Prep — mid-year convention: cash flows assumed to arrive mid-year</t>
  </si>
  <si>
    <t>https://www.wallstreetprep.com/knowledge/mid-year-convention/</t>
  </si>
  <si>
    <t>[34]</t>
  </si>
  <si>
    <t>OpenForest — startup discount rates: seed 30–45%, Series A 25–35%, growth 20–35%</t>
  </si>
  <si>
    <t>https://openforest.co/glossary/discount-rate</t>
  </si>
  <si>
    <t>[35]</t>
  </si>
  <si>
    <t>American Express SME Business Barometer (Jul 2026, UK, 1,000 owners) — owners spend about 11 hours a week on admin and finance tasks</t>
  </si>
  <si>
    <t>https://channelx.world/2026/07/smes-spend-twice-the-time-on-admin-as-growing-their-business/</t>
  </si>
  <si>
    <t>[36]</t>
  </si>
  <si>
    <t>The Vibes (Dec 2025) — SME carbon audit / ISO certification costs RM20,000–50,000</t>
  </si>
  <si>
    <t>https://www.thevibes.com/articles/business/116606/smes-hampered-under-mounting-esg-demands</t>
  </si>
  <si>
    <t>[37]</t>
  </si>
  <si>
    <t>TNB (The Star, May 2025) — myTNB app and smart meters; customers billed monthly</t>
  </si>
  <si>
    <t>https://www.tnb.com.my/assets/newsclip/21052025a.pdf</t>
  </si>
  <si>
    <t>[38]</t>
  </si>
  <si>
    <t>Lawrence Berkeley National Laboratory (Jan 2025) — Malaysia room aircon study: inverter units 30–65% of market, CSPF 5–6, priced competitively</t>
  </si>
  <si>
    <t>https://escholarship.org/uc/item/75h9f0xc</t>
  </si>
  <si>
    <t>[39]</t>
  </si>
  <si>
    <t>Trexon (2026) — RP4 base rates fixed to 31 Dec 2027; AFA surcharge +3.61 sen/kWh in Oct 2026</t>
  </si>
  <si>
    <t>https://trexon.my/blog/tnb-tariff-hike-2026-impact-solar-savings</t>
  </si>
  <si>
    <t>[40]</t>
  </si>
  <si>
    <t>DOSM — MSMEs Performance 2025 (released 30 Jul 2026): 39.7% of GDP, 8.09 million jobs</t>
  </si>
  <si>
    <t>https://www.dosm.gov.my/portal-main/release-content/micro-small--medium-enterprises-msmes-performance-2025</t>
  </si>
  <si>
    <t>[41]</t>
  </si>
  <si>
    <t>Journal of Renewable Energy &amp; Environment (Springer, 2023) — Kuala Langat, Selangor PV plant ≈1,370 kWh/kWp/year (simulated)</t>
  </si>
  <si>
    <t>https://link.springer.com/10.1186/s40807-023-00081-0</t>
  </si>
  <si>
    <t>[42]</t>
  </si>
  <si>
    <t>Userpilot, citing the ChartMogul / Growth Unhinged / ProductLed SaaS Conversion Report (Jan 2026) — freemium to paid 3–5% median, 8–12% top quartile; ~25% when upgrades follow a clear usage trigger (product-qualified leads)</t>
  </si>
  <si>
    <t>https://userpilot.com/blog/free-trial-conversion-rate/</t>
  </si>
  <si>
    <t>[43]</t>
  </si>
  <si>
    <t>Airwallex (Jun 2026) — Malaysia payment gateway fees: Stripe FPX 3% + RM1.00 per transaction; local methods from 1.4% + RM0.50</t>
  </si>
  <si>
    <t>https://www.airwallex.com/my/blog/payment-gateway-fees-malaysia</t>
  </si>
  <si>
    <t>[44]</t>
  </si>
  <si>
    <t>Orbyte (Alpha Red Pro Sdn Bhd) — SME business operating system: Connect (one sign-in, roles, approval workflows), eClaim and eSign charged per use, one credit wallet across every module, free to start, no per-seat fees</t>
  </si>
  <si>
    <t>https://orbyte.my</t>
  </si>
  <si>
    <t>All sources accessed 22–24 Oct 2026. 'Team' in the Assumptions sheet marks team estimates to be validated by the user test and partner interviews.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</si>
</sst>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RM&quot;#,##0"/>
    <numFmt numFmtId="165" formatCode="0.0%;\(0.0%\)"/>
    <numFmt numFmtId="166" formatCode="&quot;RM&quot;#,##0;&quot;(RM&quot;#,##0\)"/>
    <numFmt numFmtId="167" formatCode="&quot;RM&quot;0&quot; once&quot;"/>
    <numFmt numFmtId="168" formatCode="&quot;RM&quot;0.00&quot; per bill&quot;"/>
    <numFmt numFmtId="169" formatCode="&quot;RM&quot;0&quot; per pack&quot;"/>
    <numFmt numFmtId="170" formatCode="&quot;RM&quot;0&quot; per connection&quot;"/>
    <numFmt numFmtId="171" formatCode="&quot;RM&quot;#,##0&quot; per month&quot;"/>
    <numFmt numFmtId="172" formatCode="#,##0.00;\(#,##0.00\);\-"/>
    <numFmt numFmtId="173" formatCode="#,##0;\(#,##0\);\-"/>
    <numFmt numFmtId="174" formatCode="0.0%;\(0.0%\);\-"/>
    <numFmt numFmtId="175" formatCode="#,##0.0;\(#,##0.0\);\-"/>
    <numFmt numFmtId="176" formatCode="0.0000"/>
    <numFmt numFmtId="177" formatCode="0.000"/>
    <numFmt numFmtId="178" formatCode="0.0"/>
  </numFmts>
  <fonts count="24" x14ac:knownFonts="1">
    <font>
      <sz val="11"/>
      <color theme="1"/>
      <name val="Calibri"/>
      <family val="2"/>
      <charset val="1"/>
    </font>
    <font>
      <b/>
      <sz val="18"/>
      <color rgb="FFFFFFFF"/>
      <name val="Arial"/>
      <charset val="1"/>
    </font>
    <font>
      <b/>
      <sz val="11"/>
      <color rgb="FF1F4E78"/>
      <name val="Arial"/>
      <charset val="1"/>
    </font>
    <font>
      <i/>
      <sz val="9"/>
      <color rgb="FF1F4E78"/>
      <name val="Arial"/>
      <charset val="1"/>
    </font>
    <font>
      <b/>
      <sz val="10"/>
      <color rgb="FF404040"/>
      <name val="Arial"/>
      <charset val="1"/>
    </font>
    <font>
      <b/>
      <sz val="16"/>
      <color rgb="FF1F4E78"/>
      <name val="Arial"/>
      <charset val="1"/>
    </font>
    <font>
      <b/>
      <sz val="12"/>
      <color rgb="FF1F4E78"/>
      <name val="Arial"/>
      <charset val="1"/>
    </font>
    <font>
      <sz val="10"/>
      <name val="Arial"/>
      <charset val="1"/>
    </font>
    <font>
      <sz val="9"/>
      <color rgb="FF404040"/>
      <name val="Arial"/>
      <charset val="1"/>
    </font>
    <font>
      <b/>
      <sz val="16"/>
      <color rgb="FFFFFFFF"/>
      <name val="Arial"/>
      <charset val="1"/>
    </font>
    <font>
      <b/>
      <sz val="10"/>
      <color rgb="FFFFFFFF"/>
      <name val="Arial"/>
      <charset val="1"/>
    </font>
    <font>
      <b/>
      <sz val="10"/>
      <color rgb="FF000000"/>
      <name val="Arial"/>
      <charset val="1"/>
    </font>
    <font>
      <sz val="10"/>
      <color rgb="FF000000"/>
      <name val="Arial"/>
      <charset val="1"/>
    </font>
    <font>
      <sz val="9"/>
      <color rgb="FF808080"/>
      <name val="Arial"/>
      <charset val="1"/>
    </font>
    <font>
      <sz val="10"/>
      <color rgb="FF008000"/>
      <name val="Arial"/>
      <charset val="1"/>
    </font>
    <font>
      <b/>
      <sz val="10"/>
      <color rgb="FF008000"/>
      <name val="Arial"/>
      <charset val="1"/>
    </font>
    <font>
      <b/>
      <sz val="14"/>
      <color rgb="FF1F4E78"/>
      <name val="Arial"/>
      <charset val="1"/>
    </font>
    <font>
      <i/>
      <sz val="10"/>
      <color rgb="FF808080"/>
      <name val="Arial"/>
      <charset val="1"/>
    </font>
    <font>
      <b/>
      <sz val="9"/>
      <color rgb="FF1F4E78"/>
      <name val="Arial"/>
      <charset val="1"/>
    </font>
    <font>
      <sz val="10"/>
      <color rgb="FF0000FF"/>
      <name val="Arial"/>
      <charset val="1"/>
    </font>
    <font>
      <sz val="10"/>
      <color rgb="FF808080"/>
      <name val="Arial"/>
      <charset val="1"/>
    </font>
    <font>
      <i/>
      <sz val="10"/>
      <name val="Arial"/>
      <charset val="1"/>
    </font>
    <font>
      <u/>
      <sz val="10"/>
      <color rgb="FF0563C1"/>
      <name val="Arial"/>
      <charset val="1"/>
    </font>
    <font>
      <sz val="10"/>
      <color rgb="FFFF0000"/>
      <name val="Arial"/>
      <family val="2"/>
    </font>
  </fonts>
  <fills count="8">
    <fill>
      <patternFill patternType="none"/>
    </fill>
    <fill>
      <patternFill patternType="gray125"/>
    </fill>
    <fill>
      <patternFill patternType="solid">
        <fgColor rgb="FF1F4E78"/>
        <bgColor rgb="FF003366"/>
      </patternFill>
    </fill>
    <fill>
      <patternFill patternType="solid">
        <fgColor rgb="FFD9E1F2"/>
        <bgColor rgb="FFD9D9D9"/>
      </patternFill>
    </fill>
    <fill>
      <patternFill patternType="solid">
        <fgColor rgb="FFF2F2F2"/>
        <bgColor rgb="FFFFFFFF"/>
      </patternFill>
    </fill>
    <fill>
      <patternFill patternType="solid">
        <fgColor rgb="FFFFFF00"/>
        <bgColor rgb="FFFFFF00"/>
      </patternFill>
    </fill>
    <fill>
      <patternFill patternType="solid">
        <fgColor theme="9" tint="-0.249977111117893"/>
        <bgColor rgb="FF003366"/>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93">
    <xf numFmtId="0" fontId="0" fillId="0" borderId="0" xfId="0"/>
    <xf numFmtId="0" fontId="3" fillId="0" borderId="0" xfId="0" applyFont="1" applyAlignment="1">
      <alignment vertical="top" wrapText="1"/>
    </xf>
    <xf numFmtId="0" fontId="13" fillId="0" borderId="0" xfId="0" applyFont="1" applyAlignment="1">
      <alignment vertical="top" wrapText="1"/>
    </xf>
    <xf numFmtId="0" fontId="12" fillId="0" borderId="2" xfId="0" applyFont="1" applyBorder="1" applyAlignment="1">
      <alignment vertical="top" wrapText="1"/>
    </xf>
    <xf numFmtId="0" fontId="6" fillId="0" borderId="0" xfId="0" applyFont="1" applyAlignment="1">
      <alignment vertical="top" wrapText="1"/>
    </xf>
    <xf numFmtId="0" fontId="9" fillId="2" borderId="0" xfId="0" applyFont="1" applyFill="1"/>
    <xf numFmtId="0" fontId="2" fillId="0" borderId="0" xfId="0" applyFont="1" applyAlignment="1">
      <alignment vertical="top" wrapText="1"/>
    </xf>
    <xf numFmtId="0" fontId="1" fillId="2" borderId="0" xfId="0" applyFont="1" applyFill="1"/>
    <xf numFmtId="0" fontId="3" fillId="0" borderId="0" xfId="0" applyFont="1"/>
    <xf numFmtId="0" fontId="4" fillId="3" borderId="0" xfId="0" applyFont="1" applyFill="1"/>
    <xf numFmtId="3" fontId="5" fillId="0" borderId="0" xfId="0" applyNumberFormat="1" applyFont="1" applyAlignment="1">
      <alignment horizontal="left"/>
    </xf>
    <xf numFmtId="164" fontId="5" fillId="0" borderId="0" xfId="0" applyNumberFormat="1" applyFont="1" applyAlignment="1">
      <alignment horizontal="left"/>
    </xf>
    <xf numFmtId="165" fontId="5" fillId="0" borderId="0" xfId="0" applyNumberFormat="1" applyFont="1" applyAlignment="1">
      <alignment horizontal="left"/>
    </xf>
    <xf numFmtId="166" fontId="5" fillId="0" borderId="0" xfId="0" applyNumberFormat="1" applyFont="1" applyAlignment="1">
      <alignment horizontal="left"/>
    </xf>
    <xf numFmtId="49" fontId="5" fillId="0" borderId="0" xfId="0" applyNumberFormat="1" applyFont="1" applyAlignment="1">
      <alignment horizontal="left"/>
    </xf>
    <xf numFmtId="0" fontId="6" fillId="0" borderId="0" xfId="0" applyFont="1"/>
    <xf numFmtId="0" fontId="7" fillId="0" borderId="0" xfId="0" applyFont="1"/>
    <xf numFmtId="0" fontId="8" fillId="0" borderId="0" xfId="0" applyFont="1"/>
    <xf numFmtId="0" fontId="10" fillId="2" borderId="1" xfId="0" applyFont="1" applyFill="1" applyBorder="1" applyAlignment="1">
      <alignment horizontal="center" vertical="center" wrapText="1"/>
    </xf>
    <xf numFmtId="0" fontId="11" fillId="4" borderId="1" xfId="0" applyFont="1" applyFill="1" applyBorder="1" applyAlignment="1">
      <alignment vertical="top" wrapText="1"/>
    </xf>
    <xf numFmtId="0" fontId="13" fillId="0" borderId="0" xfId="0" applyFont="1" applyAlignment="1">
      <alignment vertical="top" wrapText="1"/>
    </xf>
    <xf numFmtId="0" fontId="0" fillId="0" borderId="0" xfId="0" applyAlignment="1">
      <alignment vertical="top" wrapText="1"/>
    </xf>
    <xf numFmtId="0" fontId="11" fillId="0" borderId="1" xfId="0" applyFont="1" applyBorder="1" applyAlignment="1">
      <alignment vertical="top" wrapText="1"/>
    </xf>
    <xf numFmtId="167" fontId="14" fillId="0" borderId="1" xfId="0" applyNumberFormat="1" applyFont="1" applyBorder="1" applyAlignment="1">
      <alignment vertical="top" wrapText="1"/>
    </xf>
    <xf numFmtId="0" fontId="12" fillId="0" borderId="1" xfId="0" applyFont="1" applyBorder="1" applyAlignment="1">
      <alignment vertical="top" wrapText="1"/>
    </xf>
    <xf numFmtId="168" fontId="14" fillId="0" borderId="1" xfId="0" applyNumberFormat="1" applyFont="1" applyBorder="1" applyAlignment="1">
      <alignment vertical="top" wrapText="1"/>
    </xf>
    <xf numFmtId="169" fontId="14" fillId="0" borderId="1" xfId="0" applyNumberFormat="1" applyFont="1" applyBorder="1" applyAlignment="1">
      <alignment vertical="top" wrapText="1"/>
    </xf>
    <xf numFmtId="170" fontId="14" fillId="0" borderId="1" xfId="0" applyNumberFormat="1" applyFont="1" applyBorder="1" applyAlignment="1">
      <alignment vertical="top" wrapText="1"/>
    </xf>
    <xf numFmtId="171" fontId="14" fillId="0" borderId="1" xfId="0" applyNumberFormat="1" applyFont="1" applyBorder="1" applyAlignment="1">
      <alignment vertical="top" wrapText="1"/>
    </xf>
    <xf numFmtId="172" fontId="12" fillId="0" borderId="1" xfId="0" applyNumberFormat="1" applyFont="1" applyBorder="1" applyAlignment="1">
      <alignment vertical="top" wrapText="1"/>
    </xf>
    <xf numFmtId="172" fontId="11" fillId="0" borderId="1" xfId="0" applyNumberFormat="1" applyFont="1" applyBorder="1" applyAlignment="1">
      <alignment vertical="top" wrapText="1"/>
    </xf>
    <xf numFmtId="173" fontId="14" fillId="0" borderId="1" xfId="0" applyNumberFormat="1" applyFont="1" applyBorder="1" applyAlignment="1">
      <alignment vertical="top" wrapText="1"/>
    </xf>
    <xf numFmtId="174" fontId="12" fillId="0" borderId="1" xfId="0" applyNumberFormat="1" applyFont="1" applyBorder="1" applyAlignment="1">
      <alignment vertical="top" wrapText="1"/>
    </xf>
    <xf numFmtId="173" fontId="15" fillId="0" borderId="1" xfId="0" applyNumberFormat="1" applyFont="1" applyBorder="1" applyAlignment="1">
      <alignment vertical="top" wrapText="1"/>
    </xf>
    <xf numFmtId="174" fontId="11" fillId="0" borderId="1" xfId="0" applyNumberFormat="1" applyFont="1" applyBorder="1" applyAlignment="1">
      <alignment vertical="top" wrapText="1"/>
    </xf>
    <xf numFmtId="0" fontId="16" fillId="0" borderId="0" xfId="0" applyFont="1"/>
    <xf numFmtId="0" fontId="17" fillId="0" borderId="0" xfId="0" applyFont="1"/>
    <xf numFmtId="0" fontId="18" fillId="0" borderId="0" xfId="0" applyFont="1"/>
    <xf numFmtId="0" fontId="2" fillId="3" borderId="0" xfId="0" applyFont="1" applyFill="1"/>
    <xf numFmtId="0" fontId="0" fillId="3" borderId="0" xfId="0" applyFill="1"/>
    <xf numFmtId="0" fontId="18" fillId="3" borderId="0" xfId="0" applyFont="1" applyFill="1"/>
    <xf numFmtId="173" fontId="19" fillId="5" borderId="1" xfId="0" applyNumberFormat="1" applyFont="1" applyFill="1" applyBorder="1"/>
    <xf numFmtId="0" fontId="20" fillId="0" borderId="0" xfId="0" applyFont="1"/>
    <xf numFmtId="0" fontId="21" fillId="0" borderId="0" xfId="0" applyFont="1"/>
    <xf numFmtId="173" fontId="12" fillId="0" borderId="1" xfId="0" applyNumberFormat="1" applyFont="1" applyBorder="1"/>
    <xf numFmtId="174" fontId="19" fillId="5" borderId="1" xfId="0" applyNumberFormat="1" applyFont="1" applyFill="1" applyBorder="1"/>
    <xf numFmtId="175" fontId="19" fillId="5" borderId="1" xfId="0" applyNumberFormat="1" applyFont="1" applyFill="1" applyBorder="1"/>
    <xf numFmtId="175" fontId="12" fillId="0" borderId="1" xfId="0" applyNumberFormat="1" applyFont="1" applyBorder="1"/>
    <xf numFmtId="172" fontId="12" fillId="0" borderId="1" xfId="0" applyNumberFormat="1" applyFont="1" applyBorder="1"/>
    <xf numFmtId="176" fontId="19" fillId="5" borderId="1" xfId="0" applyNumberFormat="1" applyFont="1" applyFill="1" applyBorder="1"/>
    <xf numFmtId="176" fontId="12" fillId="0" borderId="1" xfId="0" applyNumberFormat="1" applyFont="1" applyBorder="1"/>
    <xf numFmtId="177" fontId="19" fillId="5" borderId="1" xfId="0" applyNumberFormat="1" applyFont="1" applyFill="1" applyBorder="1"/>
    <xf numFmtId="172" fontId="19" fillId="5" borderId="1" xfId="0" applyNumberFormat="1" applyFont="1" applyFill="1" applyBorder="1"/>
    <xf numFmtId="2" fontId="19" fillId="5" borderId="1" xfId="0" applyNumberFormat="1" applyFont="1" applyFill="1" applyBorder="1"/>
    <xf numFmtId="0" fontId="12" fillId="0" borderId="1" xfId="0" applyFont="1" applyBorder="1"/>
    <xf numFmtId="4" fontId="12" fillId="0" borderId="1" xfId="0" applyNumberFormat="1" applyFont="1" applyBorder="1"/>
    <xf numFmtId="178" fontId="12" fillId="0" borderId="1" xfId="0" applyNumberFormat="1" applyFont="1" applyBorder="1"/>
    <xf numFmtId="174" fontId="14" fillId="0" borderId="1" xfId="0" applyNumberFormat="1" applyFont="1" applyBorder="1"/>
    <xf numFmtId="0" fontId="13" fillId="0" borderId="1" xfId="0" applyFont="1" applyBorder="1"/>
    <xf numFmtId="0" fontId="11" fillId="0" borderId="1" xfId="0" applyFont="1" applyBorder="1"/>
    <xf numFmtId="173" fontId="11" fillId="0" borderId="1" xfId="0" applyNumberFormat="1" applyFont="1" applyBorder="1"/>
    <xf numFmtId="4" fontId="11" fillId="0" borderId="1" xfId="0" applyNumberFormat="1" applyFont="1" applyBorder="1"/>
    <xf numFmtId="178" fontId="11" fillId="0" borderId="1" xfId="0" applyNumberFormat="1" applyFont="1" applyBorder="1"/>
    <xf numFmtId="174" fontId="11" fillId="0" borderId="1" xfId="0" applyNumberFormat="1" applyFont="1" applyBorder="1"/>
    <xf numFmtId="0" fontId="13" fillId="0" borderId="0" xfId="0" applyFont="1"/>
    <xf numFmtId="173" fontId="14" fillId="0" borderId="1" xfId="0" applyNumberFormat="1" applyFont="1" applyBorder="1"/>
    <xf numFmtId="174" fontId="12" fillId="0" borderId="1" xfId="0" applyNumberFormat="1" applyFont="1" applyBorder="1"/>
    <xf numFmtId="0" fontId="2" fillId="0" borderId="0" xfId="0" applyFont="1"/>
    <xf numFmtId="49" fontId="11" fillId="0" borderId="1" xfId="0" applyNumberFormat="1" applyFont="1" applyBorder="1"/>
    <xf numFmtId="172" fontId="11" fillId="0" borderId="1" xfId="0" applyNumberFormat="1" applyFont="1" applyBorder="1"/>
    <xf numFmtId="0" fontId="22" fillId="0" borderId="1" xfId="0" applyFont="1" applyBorder="1"/>
    <xf numFmtId="0" fontId="16" fillId="0" borderId="0" xfId="0" applyFont="1" applyAlignment="1">
      <alignment vertical="top"/>
    </xf>
    <xf numFmtId="0" fontId="17" fillId="0" borderId="0" xfId="0" applyFont="1" applyAlignment="1">
      <alignment vertical="top"/>
    </xf>
    <xf numFmtId="0" fontId="10" fillId="2" borderId="1" xfId="0" applyFont="1" applyFill="1" applyBorder="1" applyAlignment="1">
      <alignment horizontal="center" vertical="top" wrapText="1"/>
    </xf>
    <xf numFmtId="0" fontId="11" fillId="4" borderId="1" xfId="0" applyFont="1" applyFill="1" applyBorder="1" applyAlignment="1">
      <alignment vertical="top"/>
    </xf>
    <xf numFmtId="0" fontId="2" fillId="0" borderId="0" xfId="0" applyFont="1" applyAlignment="1">
      <alignment vertical="top"/>
    </xf>
    <xf numFmtId="0" fontId="11" fillId="0" borderId="1" xfId="0" applyFont="1" applyBorder="1" applyAlignment="1">
      <alignment vertical="top"/>
    </xf>
    <xf numFmtId="0" fontId="0" fillId="0" borderId="0" xfId="0" applyAlignment="1">
      <alignment vertical="top"/>
    </xf>
    <xf numFmtId="0" fontId="13" fillId="0" borderId="1" xfId="0" applyFont="1" applyBorder="1" applyAlignment="1">
      <alignment vertical="top"/>
    </xf>
    <xf numFmtId="173" fontId="14" fillId="0" borderId="1" xfId="0" applyNumberFormat="1" applyFont="1" applyBorder="1" applyAlignment="1">
      <alignment vertical="top"/>
    </xf>
    <xf numFmtId="173" fontId="11" fillId="0" borderId="1" xfId="0" applyNumberFormat="1" applyFont="1" applyBorder="1" applyAlignment="1">
      <alignment vertical="top"/>
    </xf>
    <xf numFmtId="174" fontId="12" fillId="0" borderId="1" xfId="0" applyNumberFormat="1" applyFont="1" applyBorder="1" applyAlignment="1">
      <alignment vertical="top"/>
    </xf>
    <xf numFmtId="172" fontId="12" fillId="0" borderId="1" xfId="0" applyNumberFormat="1" applyFont="1" applyBorder="1" applyAlignment="1">
      <alignment vertical="top"/>
    </xf>
    <xf numFmtId="174" fontId="14" fillId="0" borderId="1" xfId="0" applyNumberFormat="1" applyFont="1" applyBorder="1" applyAlignment="1">
      <alignment vertical="top"/>
    </xf>
    <xf numFmtId="175" fontId="14" fillId="0" borderId="1" xfId="0" applyNumberFormat="1" applyFont="1" applyBorder="1" applyAlignment="1">
      <alignment vertical="top"/>
    </xf>
    <xf numFmtId="0" fontId="12" fillId="0" borderId="1" xfId="0" applyFont="1" applyBorder="1" applyAlignment="1">
      <alignment vertical="top"/>
    </xf>
    <xf numFmtId="174" fontId="11" fillId="0" borderId="1" xfId="0" applyNumberFormat="1" applyFont="1" applyBorder="1" applyAlignment="1">
      <alignment vertical="top"/>
    </xf>
    <xf numFmtId="178" fontId="12" fillId="0" borderId="1" xfId="0" applyNumberFormat="1" applyFont="1" applyBorder="1" applyAlignment="1">
      <alignment vertical="top"/>
    </xf>
    <xf numFmtId="0" fontId="10" fillId="6" borderId="1" xfId="0" applyFont="1" applyFill="1" applyBorder="1" applyAlignment="1">
      <alignment horizontal="center" vertical="center" wrapText="1"/>
    </xf>
    <xf numFmtId="174" fontId="11" fillId="7" borderId="1" xfId="0" applyNumberFormat="1" applyFont="1" applyFill="1" applyBorder="1"/>
    <xf numFmtId="173" fontId="23" fillId="0" borderId="1" xfId="0" applyNumberFormat="1" applyFont="1" applyBorder="1"/>
    <xf numFmtId="9" fontId="5" fillId="7" borderId="0" xfId="0" applyNumberFormat="1" applyFont="1" applyFill="1" applyAlignment="1">
      <alignment horizontal="left"/>
    </xf>
    <xf numFmtId="165" fontId="5" fillId="7" borderId="0" xfId="0" applyNumberFormat="1" applyFont="1" applyFill="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2F2F2"/>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4A7EBB"/>
      <rgbColor rgb="FF878787"/>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MY" sz="1800" b="1" strike="noStrike" spc="-1">
                <a:solidFill>
                  <a:srgbClr val="000000"/>
                </a:solidFill>
                <a:latin typeface="Calibri"/>
              </a:rPr>
              <a:t>Customer Benefits vs Income vs Spend (RM)</a:t>
            </a:r>
          </a:p>
        </c:rich>
      </c:tx>
      <c:overlay val="0"/>
      <c:spPr>
        <a:noFill/>
        <a:ln w="0">
          <a:noFill/>
        </a:ln>
      </c:spPr>
    </c:title>
    <c:autoTitleDeleted val="0"/>
    <c:plotArea>
      <c:layout/>
      <c:barChart>
        <c:barDir val="col"/>
        <c:grouping val="clustered"/>
        <c:varyColors val="0"/>
        <c:ser>
          <c:idx val="0"/>
          <c:order val="0"/>
          <c:tx>
            <c:strRef>
              <c:f>ROI!$B$4</c:f>
              <c:strCache>
                <c:ptCount val="1"/>
                <c:pt idx="0">
                  <c:v>Total Customer Benefits (RM)</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ROI!$A$5:$A$9</c:f>
              <c:strCache>
                <c:ptCount val="5"/>
                <c:pt idx="0">
                  <c:v>Y1</c:v>
                </c:pt>
                <c:pt idx="1">
                  <c:v>Y2</c:v>
                </c:pt>
                <c:pt idx="2">
                  <c:v>Y3</c:v>
                </c:pt>
                <c:pt idx="3">
                  <c:v>Y4</c:v>
                </c:pt>
                <c:pt idx="4">
                  <c:v>Y5</c:v>
                </c:pt>
              </c:strCache>
            </c:strRef>
          </c:cat>
          <c:val>
            <c:numRef>
              <c:f>ROI!$B$5:$B$9</c:f>
              <c:numCache>
                <c:formatCode>#,##0;\(#,##0\);\-</c:formatCode>
                <c:ptCount val="5"/>
                <c:pt idx="0">
                  <c:v>15811.511098264615</c:v>
                </c:pt>
                <c:pt idx="1">
                  <c:v>88093.749267443069</c:v>
                </c:pt>
                <c:pt idx="2">
                  <c:v>210737.65120828614</c:v>
                </c:pt>
                <c:pt idx="3">
                  <c:v>455493.91427961225</c:v>
                </c:pt>
                <c:pt idx="4">
                  <c:v>839242.00589359377</c:v>
                </c:pt>
              </c:numCache>
            </c:numRef>
          </c:val>
          <c:extLst>
            <c:ext xmlns:c16="http://schemas.microsoft.com/office/drawing/2014/chart" uri="{C3380CC4-5D6E-409C-BE32-E72D297353CC}">
              <c16:uniqueId val="{00000000-B929-4528-BCCD-B8F38EAA0453}"/>
            </c:ext>
          </c:extLst>
        </c:ser>
        <c:ser>
          <c:idx val="1"/>
          <c:order val="1"/>
          <c:tx>
            <c:strRef>
              <c:f>ROI!$C$4</c:f>
              <c:strCache>
                <c:ptCount val="1"/>
                <c:pt idx="0">
                  <c:v>Total Income (RM)</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ROI!$A$5:$A$9</c:f>
              <c:strCache>
                <c:ptCount val="5"/>
                <c:pt idx="0">
                  <c:v>Y1</c:v>
                </c:pt>
                <c:pt idx="1">
                  <c:v>Y2</c:v>
                </c:pt>
                <c:pt idx="2">
                  <c:v>Y3</c:v>
                </c:pt>
                <c:pt idx="3">
                  <c:v>Y4</c:v>
                </c:pt>
                <c:pt idx="4">
                  <c:v>Y5</c:v>
                </c:pt>
              </c:strCache>
            </c:strRef>
          </c:cat>
          <c:val>
            <c:numRef>
              <c:f>ROI!$C$5:$C$9</c:f>
              <c:numCache>
                <c:formatCode>#,##0;\(#,##0\);\-</c:formatCode>
                <c:ptCount val="5"/>
                <c:pt idx="0">
                  <c:v>75460</c:v>
                </c:pt>
                <c:pt idx="1">
                  <c:v>260100</c:v>
                </c:pt>
                <c:pt idx="2">
                  <c:v>469200</c:v>
                </c:pt>
                <c:pt idx="3">
                  <c:v>758400</c:v>
                </c:pt>
                <c:pt idx="4">
                  <c:v>1114000</c:v>
                </c:pt>
              </c:numCache>
            </c:numRef>
          </c:val>
          <c:extLst>
            <c:ext xmlns:c16="http://schemas.microsoft.com/office/drawing/2014/chart" uri="{C3380CC4-5D6E-409C-BE32-E72D297353CC}">
              <c16:uniqueId val="{00000001-B929-4528-BCCD-B8F38EAA0453}"/>
            </c:ext>
          </c:extLst>
        </c:ser>
        <c:ser>
          <c:idx val="2"/>
          <c:order val="2"/>
          <c:tx>
            <c:strRef>
              <c:f>ROI!$D$4</c:f>
              <c:strCache>
                <c:ptCount val="1"/>
                <c:pt idx="0">
                  <c:v>Total Spend (RM)</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ROI!$A$5:$A$9</c:f>
              <c:strCache>
                <c:ptCount val="5"/>
                <c:pt idx="0">
                  <c:v>Y1</c:v>
                </c:pt>
                <c:pt idx="1">
                  <c:v>Y2</c:v>
                </c:pt>
                <c:pt idx="2">
                  <c:v>Y3</c:v>
                </c:pt>
                <c:pt idx="3">
                  <c:v>Y4</c:v>
                </c:pt>
                <c:pt idx="4">
                  <c:v>Y5</c:v>
                </c:pt>
              </c:strCache>
            </c:strRef>
          </c:cat>
          <c:val>
            <c:numRef>
              <c:f>ROI!$D$5:$D$9</c:f>
              <c:numCache>
                <c:formatCode>#,##0;\(#,##0\);\-</c:formatCode>
                <c:ptCount val="5"/>
                <c:pt idx="0">
                  <c:v>140110.050085</c:v>
                </c:pt>
                <c:pt idx="1">
                  <c:v>177845.04642500001</c:v>
                </c:pt>
                <c:pt idx="2">
                  <c:v>274326.13285000005</c:v>
                </c:pt>
                <c:pt idx="3">
                  <c:v>444698.51770000008</c:v>
                </c:pt>
                <c:pt idx="4">
                  <c:v>566255.45483333338</c:v>
                </c:pt>
              </c:numCache>
            </c:numRef>
          </c:val>
          <c:extLst>
            <c:ext xmlns:c16="http://schemas.microsoft.com/office/drawing/2014/chart" uri="{C3380CC4-5D6E-409C-BE32-E72D297353CC}">
              <c16:uniqueId val="{00000002-B929-4528-BCCD-B8F38EAA0453}"/>
            </c:ext>
          </c:extLst>
        </c:ser>
        <c:dLbls>
          <c:showLegendKey val="0"/>
          <c:showVal val="0"/>
          <c:showCatName val="0"/>
          <c:showSerName val="0"/>
          <c:showPercent val="0"/>
          <c:showBubbleSize val="0"/>
        </c:dLbls>
        <c:gapWidth val="150"/>
        <c:axId val="61882060"/>
        <c:axId val="93544221"/>
      </c:barChart>
      <c:catAx>
        <c:axId val="618820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544221"/>
        <c:crosses val="autoZero"/>
        <c:auto val="1"/>
        <c:lblAlgn val="ctr"/>
        <c:lblOffset val="100"/>
        <c:noMultiLvlLbl val="0"/>
      </c:catAx>
      <c:valAx>
        <c:axId val="9354422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88206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MY" sz="1800" b="1" strike="noStrike" spc="-1">
                <a:solidFill>
                  <a:srgbClr val="000000"/>
                </a:solidFill>
                <a:latin typeface="Calibri"/>
              </a:rPr>
              <a:t>GreenReady Net Profit / (Loss) by Year (RM)</a:t>
            </a:r>
          </a:p>
        </c:rich>
      </c:tx>
      <c:overlay val="0"/>
      <c:spPr>
        <a:noFill/>
        <a:ln w="0">
          <a:noFill/>
        </a:ln>
      </c:spPr>
    </c:title>
    <c:autoTitleDeleted val="0"/>
    <c:plotArea>
      <c:layout/>
      <c:barChart>
        <c:barDir val="col"/>
        <c:grouping val="clustered"/>
        <c:varyColors val="0"/>
        <c:ser>
          <c:idx val="0"/>
          <c:order val="0"/>
          <c:tx>
            <c:strRef>
              <c:f>ROI!$E$4</c:f>
              <c:strCache>
                <c:ptCount val="1"/>
                <c:pt idx="0">
                  <c:v>GreenReady Net = Income − Spend (RM)</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ROI!$A$5:$A$9</c:f>
              <c:strCache>
                <c:ptCount val="5"/>
                <c:pt idx="0">
                  <c:v>Y1</c:v>
                </c:pt>
                <c:pt idx="1">
                  <c:v>Y2</c:v>
                </c:pt>
                <c:pt idx="2">
                  <c:v>Y3</c:v>
                </c:pt>
                <c:pt idx="3">
                  <c:v>Y4</c:v>
                </c:pt>
                <c:pt idx="4">
                  <c:v>Y5</c:v>
                </c:pt>
              </c:strCache>
            </c:strRef>
          </c:cat>
          <c:val>
            <c:numRef>
              <c:f>ROI!$E$5:$E$9</c:f>
              <c:numCache>
                <c:formatCode>#,##0;\(#,##0\);\-</c:formatCode>
                <c:ptCount val="5"/>
                <c:pt idx="0">
                  <c:v>-64650.050084999995</c:v>
                </c:pt>
                <c:pt idx="1">
                  <c:v>82254.953574999992</c:v>
                </c:pt>
                <c:pt idx="2">
                  <c:v>194873.86714999995</c:v>
                </c:pt>
                <c:pt idx="3">
                  <c:v>313701.48229999992</c:v>
                </c:pt>
                <c:pt idx="4">
                  <c:v>547744.54516666662</c:v>
                </c:pt>
              </c:numCache>
            </c:numRef>
          </c:val>
          <c:extLst>
            <c:ext xmlns:c16="http://schemas.microsoft.com/office/drawing/2014/chart" uri="{C3380CC4-5D6E-409C-BE32-E72D297353CC}">
              <c16:uniqueId val="{00000000-5D88-4842-98C4-085C1D0396D3}"/>
            </c:ext>
          </c:extLst>
        </c:ser>
        <c:dLbls>
          <c:showLegendKey val="0"/>
          <c:showVal val="0"/>
          <c:showCatName val="0"/>
          <c:showSerName val="0"/>
          <c:showPercent val="0"/>
          <c:showBubbleSize val="0"/>
        </c:dLbls>
        <c:gapWidth val="150"/>
        <c:axId val="51181068"/>
        <c:axId val="41458212"/>
      </c:barChart>
      <c:catAx>
        <c:axId val="5118106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41458212"/>
        <c:crosses val="autoZero"/>
        <c:auto val="1"/>
        <c:lblAlgn val="ctr"/>
        <c:lblOffset val="100"/>
        <c:noMultiLvlLbl val="0"/>
      </c:catAx>
      <c:valAx>
        <c:axId val="4145821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18106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MY" sz="1800" b="1" strike="noStrike" spc="-1">
                <a:solidFill>
                  <a:srgbClr val="000000"/>
                </a:solidFill>
                <a:latin typeface="Calibri"/>
              </a:rPr>
              <a:t>Cumulative Net Position (RM)</a:t>
            </a:r>
          </a:p>
        </c:rich>
      </c:tx>
      <c:overlay val="0"/>
      <c:spPr>
        <a:noFill/>
        <a:ln w="0">
          <a:noFill/>
        </a:ln>
      </c:spPr>
    </c:title>
    <c:autoTitleDeleted val="0"/>
    <c:plotArea>
      <c:layout/>
      <c:lineChart>
        <c:grouping val="standard"/>
        <c:varyColors val="0"/>
        <c:ser>
          <c:idx val="0"/>
          <c:order val="0"/>
          <c:tx>
            <c:strRef>
              <c:f>ROI!$F$4</c:f>
              <c:strCache>
                <c:ptCount val="1"/>
                <c:pt idx="0">
                  <c:v>Cumulative Net (RM)</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ROI!$A$5:$A$9</c:f>
              <c:strCache>
                <c:ptCount val="5"/>
                <c:pt idx="0">
                  <c:v>Y1</c:v>
                </c:pt>
                <c:pt idx="1">
                  <c:v>Y2</c:v>
                </c:pt>
                <c:pt idx="2">
                  <c:v>Y3</c:v>
                </c:pt>
                <c:pt idx="3">
                  <c:v>Y4</c:v>
                </c:pt>
                <c:pt idx="4">
                  <c:v>Y5</c:v>
                </c:pt>
              </c:strCache>
            </c:strRef>
          </c:cat>
          <c:val>
            <c:numRef>
              <c:f>ROI!$F$5:$F$9</c:f>
              <c:numCache>
                <c:formatCode>#,##0;\(#,##0\);\-</c:formatCode>
                <c:ptCount val="5"/>
                <c:pt idx="0">
                  <c:v>-64650.050084999995</c:v>
                </c:pt>
                <c:pt idx="1">
                  <c:v>17604.903489999997</c:v>
                </c:pt>
                <c:pt idx="2">
                  <c:v>212478.77063999994</c:v>
                </c:pt>
                <c:pt idx="3">
                  <c:v>526180.2529399998</c:v>
                </c:pt>
                <c:pt idx="4">
                  <c:v>1073924.7981066664</c:v>
                </c:pt>
              </c:numCache>
            </c:numRef>
          </c:val>
          <c:smooth val="0"/>
          <c:extLst>
            <c:ext xmlns:c16="http://schemas.microsoft.com/office/drawing/2014/chart" uri="{C3380CC4-5D6E-409C-BE32-E72D297353CC}">
              <c16:uniqueId val="{00000000-3CC2-42C7-BEDF-14264B14BB59}"/>
            </c:ext>
          </c:extLst>
        </c:ser>
        <c:dLbls>
          <c:showLegendKey val="0"/>
          <c:showVal val="0"/>
          <c:showCatName val="0"/>
          <c:showSerName val="0"/>
          <c:showPercent val="0"/>
          <c:showBubbleSize val="0"/>
        </c:dLbls>
        <c:hiLowLines>
          <c:spPr>
            <a:ln w="0">
              <a:noFill/>
            </a:ln>
          </c:spPr>
        </c:hiLowLines>
        <c:smooth val="0"/>
        <c:axId val="4468449"/>
        <c:axId val="71716841"/>
      </c:lineChart>
      <c:catAx>
        <c:axId val="4468449"/>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71716841"/>
        <c:crosses val="autoZero"/>
        <c:auto val="1"/>
        <c:lblAlgn val="ctr"/>
        <c:lblOffset val="100"/>
        <c:noMultiLvlLbl val="0"/>
      </c:catAx>
      <c:valAx>
        <c:axId val="7171684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6844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MY" sz="1800" b="1" strike="noStrike" spc="-1">
                <a:solidFill>
                  <a:srgbClr val="000000"/>
                </a:solidFill>
                <a:latin typeface="Calibri"/>
              </a:rPr>
              <a:t>Adoption Funnel by Year</a:t>
            </a:r>
          </a:p>
        </c:rich>
      </c:tx>
      <c:overlay val="0"/>
      <c:spPr>
        <a:noFill/>
        <a:ln w="0">
          <a:noFill/>
        </a:ln>
      </c:spPr>
    </c:title>
    <c:autoTitleDeleted val="0"/>
    <c:plotArea>
      <c:layout/>
      <c:barChart>
        <c:barDir val="col"/>
        <c:grouping val="clustered"/>
        <c:varyColors val="0"/>
        <c:ser>
          <c:idx val="0"/>
          <c:order val="0"/>
          <c:tx>
            <c:strRef>
              <c:f>Volumes!$H$4</c:f>
              <c:strCache>
                <c:ptCount val="1"/>
                <c:pt idx="0">
                  <c:v>Packs generated</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Volumes!$A$5:$A$9</c:f>
              <c:strCache>
                <c:ptCount val="5"/>
                <c:pt idx="0">
                  <c:v>Y1</c:v>
                </c:pt>
                <c:pt idx="1">
                  <c:v>Y2</c:v>
                </c:pt>
                <c:pt idx="2">
                  <c:v>Y3</c:v>
                </c:pt>
                <c:pt idx="3">
                  <c:v>Y4</c:v>
                </c:pt>
                <c:pt idx="4">
                  <c:v>Y5</c:v>
                </c:pt>
              </c:strCache>
            </c:strRef>
          </c:cat>
          <c:val>
            <c:numRef>
              <c:f>Volumes!$H$5:$H$9</c:f>
              <c:numCache>
                <c:formatCode>#,##0;\(#,##0\);\-</c:formatCode>
                <c:ptCount val="5"/>
                <c:pt idx="0">
                  <c:v>60</c:v>
                </c:pt>
                <c:pt idx="1">
                  <c:v>300</c:v>
                </c:pt>
                <c:pt idx="2">
                  <c:v>600</c:v>
                </c:pt>
                <c:pt idx="3">
                  <c:v>1200</c:v>
                </c:pt>
                <c:pt idx="4">
                  <c:v>2000</c:v>
                </c:pt>
              </c:numCache>
            </c:numRef>
          </c:val>
          <c:extLst>
            <c:ext xmlns:c16="http://schemas.microsoft.com/office/drawing/2014/chart" uri="{C3380CC4-5D6E-409C-BE32-E72D297353CC}">
              <c16:uniqueId val="{00000000-D429-4E8C-9E90-F38E3C10E55B}"/>
            </c:ext>
          </c:extLst>
        </c:ser>
        <c:ser>
          <c:idx val="1"/>
          <c:order val="1"/>
          <c:tx>
            <c:strRef>
              <c:f>Volumes!$I$4</c:f>
              <c:strCache>
                <c:ptCount val="1"/>
                <c:pt idx="0">
                  <c:v>Board listings</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Volumes!$A$5:$A$9</c:f>
              <c:strCache>
                <c:ptCount val="5"/>
                <c:pt idx="0">
                  <c:v>Y1</c:v>
                </c:pt>
                <c:pt idx="1">
                  <c:v>Y2</c:v>
                </c:pt>
                <c:pt idx="2">
                  <c:v>Y3</c:v>
                </c:pt>
                <c:pt idx="3">
                  <c:v>Y4</c:v>
                </c:pt>
                <c:pt idx="4">
                  <c:v>Y5</c:v>
                </c:pt>
              </c:strCache>
            </c:strRef>
          </c:cat>
          <c:val>
            <c:numRef>
              <c:f>Volumes!$I$5:$I$9</c:f>
              <c:numCache>
                <c:formatCode>#,##0;\(#,##0\);\-</c:formatCode>
                <c:ptCount val="5"/>
                <c:pt idx="0">
                  <c:v>31</c:v>
                </c:pt>
                <c:pt idx="1">
                  <c:v>156</c:v>
                </c:pt>
                <c:pt idx="2">
                  <c:v>312</c:v>
                </c:pt>
                <c:pt idx="3">
                  <c:v>624</c:v>
                </c:pt>
                <c:pt idx="4">
                  <c:v>1040</c:v>
                </c:pt>
              </c:numCache>
            </c:numRef>
          </c:val>
          <c:extLst>
            <c:ext xmlns:c16="http://schemas.microsoft.com/office/drawing/2014/chart" uri="{C3380CC4-5D6E-409C-BE32-E72D297353CC}">
              <c16:uniqueId val="{00000001-D429-4E8C-9E90-F38E3C10E55B}"/>
            </c:ext>
          </c:extLst>
        </c:ser>
        <c:ser>
          <c:idx val="2"/>
          <c:order val="2"/>
          <c:tx>
            <c:strRef>
              <c:f>Volumes!$J$4</c:f>
              <c:strCache>
                <c:ptCount val="1"/>
                <c:pt idx="0">
                  <c:v>Upgrades completed</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Volumes!$A$5:$A$9</c:f>
              <c:strCache>
                <c:ptCount val="5"/>
                <c:pt idx="0">
                  <c:v>Y1</c:v>
                </c:pt>
                <c:pt idx="1">
                  <c:v>Y2</c:v>
                </c:pt>
                <c:pt idx="2">
                  <c:v>Y3</c:v>
                </c:pt>
                <c:pt idx="3">
                  <c:v>Y4</c:v>
                </c:pt>
                <c:pt idx="4">
                  <c:v>Y5</c:v>
                </c:pt>
              </c:strCache>
            </c:strRef>
          </c:cat>
          <c:val>
            <c:numRef>
              <c:f>Volumes!$J$5:$J$9</c:f>
              <c:numCache>
                <c:formatCode>#,##0;\(#,##0\);\-</c:formatCode>
                <c:ptCount val="5"/>
                <c:pt idx="0">
                  <c:v>8</c:v>
                </c:pt>
                <c:pt idx="1">
                  <c:v>41</c:v>
                </c:pt>
                <c:pt idx="2">
                  <c:v>81</c:v>
                </c:pt>
                <c:pt idx="3">
                  <c:v>162</c:v>
                </c:pt>
                <c:pt idx="4">
                  <c:v>270</c:v>
                </c:pt>
              </c:numCache>
            </c:numRef>
          </c:val>
          <c:extLst>
            <c:ext xmlns:c16="http://schemas.microsoft.com/office/drawing/2014/chart" uri="{C3380CC4-5D6E-409C-BE32-E72D297353CC}">
              <c16:uniqueId val="{00000002-D429-4E8C-9E90-F38E3C10E55B}"/>
            </c:ext>
          </c:extLst>
        </c:ser>
        <c:dLbls>
          <c:showLegendKey val="0"/>
          <c:showVal val="0"/>
          <c:showCatName val="0"/>
          <c:showSerName val="0"/>
          <c:showPercent val="0"/>
          <c:showBubbleSize val="0"/>
        </c:dLbls>
        <c:gapWidth val="150"/>
        <c:axId val="79510138"/>
        <c:axId val="82686636"/>
      </c:barChart>
      <c:catAx>
        <c:axId val="795101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686636"/>
        <c:crosses val="autoZero"/>
        <c:auto val="1"/>
        <c:lblAlgn val="ctr"/>
        <c:lblOffset val="100"/>
        <c:noMultiLvlLbl val="0"/>
      </c:catAx>
      <c:valAx>
        <c:axId val="8268663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951013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160920</xdr:rowOff>
    </xdr:from>
    <xdr:to>
      <xdr:col>10</xdr:col>
      <xdr:colOff>4680</xdr:colOff>
      <xdr:row>17</xdr:row>
      <xdr:rowOff>182880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160920</xdr:rowOff>
    </xdr:from>
    <xdr:to>
      <xdr:col>20</xdr:col>
      <xdr:colOff>4320</xdr:colOff>
      <xdr:row>17</xdr:row>
      <xdr:rowOff>182880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20</xdr:row>
      <xdr:rowOff>160920</xdr:rowOff>
    </xdr:from>
    <xdr:to>
      <xdr:col>10</xdr:col>
      <xdr:colOff>4680</xdr:colOff>
      <xdr:row>35</xdr:row>
      <xdr:rowOff>182880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20</xdr:row>
      <xdr:rowOff>160920</xdr:rowOff>
    </xdr:from>
    <xdr:to>
      <xdr:col>20</xdr:col>
      <xdr:colOff>4320</xdr:colOff>
      <xdr:row>35</xdr:row>
      <xdr:rowOff>182880</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3" Type="http://schemas.openxmlformats.org/officeDocument/2006/relationships/hyperlink" Target="https://trexon.my/blog/solar-panel-price-malaysia-cost-breakdown-2026" TargetMode="External"/><Relationship Id="rId18" Type="http://schemas.openxmlformats.org/officeDocument/2006/relationships/hyperlink" Target="https://rhbgroup.com/-/media/Files/others/highlights/media-release/M20241125-1.pdf" TargetMode="External"/><Relationship Id="rId26" Type="http://schemas.openxmlformats.org/officeDocument/2006/relationships/hyperlink" Target="https://arxiv.org/pdf/2609.15706" TargetMode="External"/><Relationship Id="rId39" Type="http://schemas.openxmlformats.org/officeDocument/2006/relationships/hyperlink" Target="https://trexon.my/blog/tnb-tariff-hike-2026-impact-solar-savings" TargetMode="External"/><Relationship Id="rId21" Type="http://schemas.openxmlformats.org/officeDocument/2006/relationships/hyperlink" Target="https://bukku.my/pricing" TargetMode="External"/><Relationship Id="rId34" Type="http://schemas.openxmlformats.org/officeDocument/2006/relationships/hyperlink" Target="https://openforest.co/glossary/discount-rate" TargetMode="External"/><Relationship Id="rId42" Type="http://schemas.openxmlformats.org/officeDocument/2006/relationships/hyperlink" Target="https://userpilot.com/blog/free-trial-conversion-rate/" TargetMode="External"/><Relationship Id="rId7" Type="http://schemas.openxmlformats.org/officeDocument/2006/relationships/hyperlink" Target="https://mall.lapasar.com/products/201519" TargetMode="External"/><Relationship Id="rId2" Type="http://schemas.openxmlformats.org/officeDocument/2006/relationships/hyperlink" Target="https://www.dosm.gov.my/portal-main/release-content/economic-census-2023-food-and-beverage-services-sector" TargetMode="External"/><Relationship Id="rId16" Type="http://schemas.openxmlformats.org/officeDocument/2006/relationships/hyperlink" Target="https://www.businesstoday.com.my/2026/06/29/77-of-malaysian-smes-remain-optimistic-as-energy-management-tops-cost-cutting-agenda-study-shows/" TargetMode="External"/><Relationship Id="rId20" Type="http://schemas.openxmlformats.org/officeDocument/2006/relationships/hyperlink" Target="https://www.businesstoday.com.my/2026/10/06/foreign-exchange-rates-oct-6-2026/" TargetMode="External"/><Relationship Id="rId29" Type="http://schemas.openxmlformats.org/officeDocument/2006/relationships/hyperlink" Target="https://makerkit.dev/blog/saas/supabase-pricing" TargetMode="External"/><Relationship Id="rId41" Type="http://schemas.openxmlformats.org/officeDocument/2006/relationships/hyperlink" Target="https://link.springer.com/10.1186/s40807-023-00081-0" TargetMode="External"/><Relationship Id="rId1" Type="http://schemas.openxmlformats.org/officeDocument/2006/relationships/hyperlink" Target="https://smecorp.gov.my/index.php/en/policies/2020-02-11-08-01-24/profile-and-importance-to-the-economy" TargetMode="External"/><Relationship Id="rId6" Type="http://schemas.openxmlformats.org/officeDocument/2006/relationships/hyperlink" Target="https://www.sciltp.com/journals/gefr/articles/2603003371" TargetMode="External"/><Relationship Id="rId11" Type="http://schemas.openxmlformats.org/officeDocument/2006/relationships/hyperlink" Target="https://www.recommend.my/service/air-conditioning" TargetMode="External"/><Relationship Id="rId24" Type="http://schemas.openxmlformats.org/officeDocument/2006/relationships/hyperlink" Target="https://www.bnm.gov.my/lctf2022_en_faq" TargetMode="External"/><Relationship Id="rId32" Type="http://schemas.openxmlformats.org/officeDocument/2006/relationships/hyperlink" Target="https://deepstrike.io/blog/penetration-testing-companies-malaysia" TargetMode="External"/><Relationship Id="rId37" Type="http://schemas.openxmlformats.org/officeDocument/2006/relationships/hyperlink" Target="https://www.tnb.com.my/assets/newsclip/21052025a.pdf" TargetMode="External"/><Relationship Id="rId40" Type="http://schemas.openxmlformats.org/officeDocument/2006/relationships/hyperlink" Target="https://www.dosm.gov.my/portal-main/release-content/micro-small--medium-enterprises-msmes-performance-2025" TargetMode="External"/><Relationship Id="rId5" Type="http://schemas.openxmlformats.org/officeDocument/2006/relationships/hyperlink" Target="https://irepository.uniten.edu.my/entities/publication/c8d304dd-1a3c-45c0-84d5-eecaeeaf3549/full" TargetMode="External"/><Relationship Id="rId15" Type="http://schemas.openxmlformats.org/officeDocument/2006/relationships/hyperlink" Target="https://nst.com.my/amp/news/nation/2022/08/821361/weekly-working-hours-reduced-48-45-starting-sept-1" TargetMode="External"/><Relationship Id="rId23" Type="http://schemas.openxmlformats.org/officeDocument/2006/relationships/hyperlink" Target="https://en.wikipedia.org/wiki/List_of_banks_in_Malaysia" TargetMode="External"/><Relationship Id="rId28" Type="http://schemas.openxmlformats.org/officeDocument/2006/relationships/hyperlink" Target="https://www.qiscus.com/en/blog/whatsapp-api-malaysia/" TargetMode="External"/><Relationship Id="rId36" Type="http://schemas.openxmlformats.org/officeDocument/2006/relationships/hyperlink" Target="https://www.thevibes.com/articles/business/116606/smes-hampered-under-mounting-esg-demands" TargetMode="External"/><Relationship Id="rId10" Type="http://schemas.openxmlformats.org/officeDocument/2006/relationships/hyperlink" Target="https://www.haier.com/my/about-haier/articles/20260326_288449.shtml" TargetMode="External"/><Relationship Id="rId19" Type="http://schemas.openxmlformats.org/officeDocument/2006/relationships/hyperlink" Target="https://www.whysolar.com.au/blog/solar-leads-cost-australia" TargetMode="External"/><Relationship Id="rId31" Type="http://schemas.openxmlformats.org/officeDocument/2006/relationships/hyperlink" Target="https://www.dfdl.com/insights/legal-and-tax-updates/malaysia-implementation-of-the-personal-data-protection-amendment-act-2024/" TargetMode="External"/><Relationship Id="rId44" Type="http://schemas.openxmlformats.org/officeDocument/2006/relationships/hyperlink" Target="https://orbyte.my/" TargetMode="External"/><Relationship Id="rId4" Type="http://schemas.openxmlformats.org/officeDocument/2006/relationships/hyperlink" Target="https://myenergystats.st.gov.my/documents/d/guest/grid-emission-factor-gef-in-malaysia-2022-2024-provisional-" TargetMode="External"/><Relationship Id="rId9" Type="http://schemas.openxmlformats.org/officeDocument/2006/relationships/hyperlink" Target="https://www.lg.com/my/residential-air-conditioners/single-split-air-conditioners/bs-c126hya0/" TargetMode="External"/><Relationship Id="rId14" Type="http://schemas.openxmlformats.org/officeDocument/2006/relationships/hyperlink" Target="https://ringgitplus.com/en/blog/education-career/median-salary-climbs-5-3-to-rm2940-in-2025.html" TargetMode="External"/><Relationship Id="rId22" Type="http://schemas.openxmlformats.org/officeDocument/2006/relationships/hyperlink" Target="https://gripped.io/b2b-saas/b2b-saas-cac-benchmarks-by-industry-2026/" TargetMode="External"/><Relationship Id="rId27" Type="http://schemas.openxmlformats.org/officeDocument/2006/relationships/hyperlink" Target="https://developers.facebook.com/docs/whatsapp/pricing" TargetMode="External"/><Relationship Id="rId30" Type="http://schemas.openxmlformats.org/officeDocument/2006/relationships/hyperlink" Target="https://www.ajobthing.com/resources/blog/epf-socso-eis-contribution-2026-latest-rates-rules-employer-guide-malaysia" TargetMode="External"/><Relationship Id="rId35" Type="http://schemas.openxmlformats.org/officeDocument/2006/relationships/hyperlink" Target="https://channelx.world/2026/07/smes-spend-twice-the-time-on-admin-as-growing-their-business/" TargetMode="External"/><Relationship Id="rId43" Type="http://schemas.openxmlformats.org/officeDocument/2006/relationships/hyperlink" Target="https://www.airwallex.com/my/blog/payment-gateway-fees-malaysia" TargetMode="External"/><Relationship Id="rId8" Type="http://schemas.openxmlformats.org/officeDocument/2006/relationships/hyperlink" Target="https://recommend.my/blog/?p=19104" TargetMode="External"/><Relationship Id="rId3" Type="http://schemas.openxmlformats.org/officeDocument/2006/relationships/hyperlink" Target="https://www.plusxnergy.com/?p=2574" TargetMode="External"/><Relationship Id="rId12" Type="http://schemas.openxmlformats.org/officeDocument/2006/relationships/hyperlink" Target="https://www.epj-conferences.org/10.1051/epjconf/202636301023" TargetMode="External"/><Relationship Id="rId17" Type="http://schemas.openxmlformats.org/officeDocument/2006/relationships/hyperlink" Target="https://www.alliancebank.com.my/About-Us/Media-Centre/ESG-Awareness-Among-SMEs-Surges-Sixfold-Alliance-Bank-ESG-2-0-Report" TargetMode="External"/><Relationship Id="rId25" Type="http://schemas.openxmlformats.org/officeDocument/2006/relationships/hyperlink" Target="https://www.runpod.io/pricing" TargetMode="External"/><Relationship Id="rId33" Type="http://schemas.openxmlformats.org/officeDocument/2006/relationships/hyperlink" Target="https://www.wallstreetprep.com/knowledge/mid-year-convention/" TargetMode="External"/><Relationship Id="rId38" Type="http://schemas.openxmlformats.org/officeDocument/2006/relationships/hyperlink" Target="https://escholarship.org/uc/item/75h9f0x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6"/>
  <sheetViews>
    <sheetView showGridLines="0" tabSelected="1" zoomScaleNormal="100" workbookViewId="0">
      <selection activeCell="A17" sqref="A17"/>
    </sheetView>
  </sheetViews>
  <sheetFormatPr defaultColWidth="8.6640625" defaultRowHeight="14.4" x14ac:dyDescent="0.3"/>
  <cols>
    <col min="1" max="1" width="32" customWidth="1"/>
    <col min="2" max="2" width="3" customWidth="1"/>
    <col min="3" max="3" width="32" customWidth="1"/>
    <col min="4" max="4" width="3" customWidth="1"/>
    <col min="5" max="5" width="32" customWidth="1"/>
    <col min="6" max="6" width="3" customWidth="1"/>
  </cols>
  <sheetData>
    <row r="1" spans="1:6" ht="31.5" customHeight="1" x14ac:dyDescent="0.4">
      <c r="A1" s="7" t="s">
        <v>0</v>
      </c>
      <c r="B1" s="7"/>
      <c r="C1" s="7"/>
      <c r="D1" s="7"/>
      <c r="E1" s="7"/>
      <c r="F1" s="7"/>
    </row>
    <row r="3" spans="1:6" ht="30" customHeight="1" x14ac:dyDescent="0.3">
      <c r="A3" s="6" t="s">
        <v>1</v>
      </c>
      <c r="B3" s="6"/>
      <c r="C3" s="6"/>
      <c r="D3" s="6"/>
      <c r="E3" s="6"/>
      <c r="F3" s="6"/>
    </row>
    <row r="4" spans="1:6" x14ac:dyDescent="0.3">
      <c r="A4" s="8" t="s">
        <v>2</v>
      </c>
    </row>
    <row r="6" spans="1:6" x14ac:dyDescent="0.3">
      <c r="A6" s="9" t="s">
        <v>3</v>
      </c>
      <c r="C6" s="9" t="s">
        <v>4</v>
      </c>
      <c r="E6" s="9" t="s">
        <v>5</v>
      </c>
    </row>
    <row r="7" spans="1:6" ht="25.5" customHeight="1" x14ac:dyDescent="0.4">
      <c r="A7" s="10">
        <f>Volumes!B9</f>
        <v>10000</v>
      </c>
      <c r="C7" s="11">
        <f>ROI!B10</f>
        <v>1609378.8317471999</v>
      </c>
      <c r="E7" s="10">
        <f>Benefits!G9</f>
        <v>1179.71014896</v>
      </c>
    </row>
    <row r="9" spans="1:6" x14ac:dyDescent="0.3">
      <c r="A9" s="9" t="s">
        <v>6</v>
      </c>
      <c r="C9" s="9" t="s">
        <v>7</v>
      </c>
      <c r="E9" s="9" t="s">
        <v>8</v>
      </c>
    </row>
    <row r="10" spans="1:6" ht="25.5" customHeight="1" x14ac:dyDescent="0.4">
      <c r="A10" s="92">
        <f>ROI!B19</f>
        <v>0.66984856422714523</v>
      </c>
      <c r="C10" s="91">
        <f>ROI!B20</f>
        <v>2.0471425926749469</v>
      </c>
      <c r="E10" s="13">
        <f>ROI!D36</f>
        <v>344999.88758114818</v>
      </c>
    </row>
    <row r="12" spans="1:6" x14ac:dyDescent="0.3">
      <c r="A12" s="9" t="s">
        <v>9</v>
      </c>
      <c r="C12" s="9" t="s">
        <v>10</v>
      </c>
      <c r="E12" s="9" t="s">
        <v>11</v>
      </c>
    </row>
    <row r="13" spans="1:6" ht="25.5" customHeight="1" x14ac:dyDescent="0.4">
      <c r="A13" s="14" t="str">
        <f>ROI!B22</f>
        <v>Y2</v>
      </c>
      <c r="C13" s="12">
        <f>ROI!B21</f>
        <v>0.49169169225014958</v>
      </c>
      <c r="E13" s="14" t="str">
        <f>ROI!B24</f>
        <v>Y1</v>
      </c>
    </row>
    <row r="15" spans="1:6" ht="15.6" x14ac:dyDescent="0.3">
      <c r="A15" s="15" t="s">
        <v>12</v>
      </c>
    </row>
    <row r="16" spans="1:6" x14ac:dyDescent="0.3">
      <c r="A16" s="16" t="str">
        <f>"•  The recurring burden: "&amp;TEXT(Volumes!E10,"#,##0")&amp;" bill analyses over 5 years, saving about "&amp;TEXT(Benefits!B9,"#,##0")&amp;" admin hours for customers."</f>
        <v>•  The recurring burden: 149,760 bill analyses over 5 years, saving about 58,032 admin hours for customers.</v>
      </c>
    </row>
    <row r="17" spans="1:1" x14ac:dyDescent="0.3">
      <c r="A17" s="16" t="str">
        <f>"•  A typical solar upgrade saves about RM"&amp;TEXT(Upgrade_Calc!C7,"#,##0")&amp;" a year with a "&amp;TEXT(Upgrade_Calc!F7,"0.0")&amp;"-year payback; LED pays back in "&amp;TEXT(Upgrade_Calc!F5,"0.0")&amp;" years."</f>
        <v>•  A typical solar upgrade saves about RM20,069 a year with a 3.0-year payback; LED pays back in 1.2 years.</v>
      </c>
    </row>
    <row r="18" spans="1:1" x14ac:dyDescent="0.3">
      <c r="A18" s="16" t="str">
        <f>"•  Customers earn a "&amp;TEXT(ROI!B20,"0%")&amp;" return on what they pay (analyses and Preparation Packs), even after crediting GreenReady with only "&amp;TEXT(Assumptions!$B$41,"0%")&amp;" of energy savings."</f>
        <v>•  Customers earn a 205% return on what they pay (analyses and Preparation Packs), even after crediting GreenReady with only 25% of energy savings.</v>
      </c>
    </row>
    <row r="19" spans="1:1" x14ac:dyDescent="0.3">
      <c r="A19" s="16" t="str">
        <f>"•  Customers gain more than they pay from "&amp;ROI!B24&amp;" ("&amp;TEXT(ROI!I5,"0%")&amp;" ROI in Y1); GreenReady is profitable from "&amp;ROI!B23&amp;" and fully recovers its Y1 spend by "&amp;ROI!B22&amp;"."</f>
        <v>•  Customers gain more than they pay from Y1 (161% ROI in Y1); GreenReady is profitable from Y2 and fully recovers its Y1 spend by Y2.</v>
      </c>
    </row>
    <row r="20" spans="1:1" x14ac:dyDescent="0.3">
      <c r="A20" s="16" t="str">
        <f>"•  SMEs pay "&amp;TEXT(IF(ROI!C10&gt;0,(Pricing_Income!B9+Pricing_Income!C9)/ROI!C10,0),"0%")&amp;" of 5-year income through the Orbyte credit wallet; suppliers and investors pay "&amp;TEXT(IF(ROI!C10&gt;0,(Pricing_Income!D9+Pricing_Income!E9)/ROI!C10,0),"0%")&amp;"."</f>
        <v>•  SMEs pay 20% of 5-year income through the Orbyte credit wallet; suppliers and investors pay 80%.</v>
      </c>
    </row>
    <row r="21" spans="1:1" x14ac:dyDescent="0.3">
      <c r="A21" s="16" t="str">
        <f>"•  By Year 5 GreenReady reaches "&amp;TEXT(Volumes!D9,"0.0%")&amp;" of the serviceable market, so the projection does not rely on mass adoption."</f>
        <v>•  By Year 5 GreenReady reaches 5.1% of the serviceable market, so the projection does not rely on mass adoption.</v>
      </c>
    </row>
    <row r="22" spans="1:1" x14ac:dyDescent="0.3">
      <c r="A22" s="16" t="str">
        <f>"•  Key risk: without supplier and investor fees, the pack would need to cost about RM"&amp;TEXT(ROI!B27,"#,##0")&amp;" to break even, so early partner sign-ups matter most."</f>
        <v>•  Key risk: without supplier and investor fees, the pack would need to cost about RM337 to break even, so early partner sign-ups matter most.</v>
      </c>
    </row>
    <row r="24" spans="1:1" ht="15.6" x14ac:dyDescent="0.3">
      <c r="A24" s="15" t="s">
        <v>13</v>
      </c>
    </row>
    <row r="25" spans="1:1" x14ac:dyDescent="0.3">
      <c r="A25" s="17" t="str">
        <f>"Free credit RM"&amp;TEXT(Assumptions!$B$92,"0")&amp;" · RM"&amp;TEXT(Assumptions!$B$91,"0.00")&amp;" per analysis · Pack RM"&amp;TEXT(Assumptions!$B$95,"0")&amp;" · Supplier fee RM"&amp;TEXT(Assumptions!$B$101,"0")&amp;"/connection · Investor subscription RM"&amp;TEXT(Assumptions!$B$102,"#,##0")&amp;"/month · Tariff RM"&amp;TEXT(Assumptions!$B$39,"0.0000")&amp;"/kWh · Grid factor "&amp;TEXT(Assumptions!$B$40,"0.000")&amp;" kg/kWh · Discount rate "&amp;TEXT(Assumptions!$B$107,"0%")</f>
        <v>Free credit RM10 · RM2.00 per analysis · Pack RM79 · Supplier fee RM200/connection · Investor subscription RM2,500/month · Tariff RM0.5068/kWh · Grid factor 0.740 kg/kWh · Discount rate 30%</v>
      </c>
    </row>
    <row r="26" spans="1:1" x14ac:dyDescent="0.3">
      <c r="A26" s="17" t="s">
        <v>14</v>
      </c>
    </row>
  </sheetData>
  <mergeCells count="2">
    <mergeCell ref="A1:F1"/>
    <mergeCell ref="A3:F3"/>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44"/>
  <sheetViews>
    <sheetView topLeftCell="A9" zoomScaleNormal="100" workbookViewId="0">
      <selection sqref="A1:F1"/>
    </sheetView>
  </sheetViews>
  <sheetFormatPr defaultColWidth="8.6640625" defaultRowHeight="14.4" x14ac:dyDescent="0.3"/>
  <cols>
    <col min="1" max="1" width="30" customWidth="1"/>
    <col min="2" max="2" width="22" customWidth="1"/>
    <col min="3" max="3" width="26" customWidth="1"/>
    <col min="4" max="4" width="30" customWidth="1"/>
    <col min="5" max="5" width="44" customWidth="1"/>
    <col min="6" max="6" width="16" customWidth="1"/>
  </cols>
  <sheetData>
    <row r="1" spans="1:6" ht="27.75" customHeight="1" x14ac:dyDescent="0.4">
      <c r="A1" s="5" t="s">
        <v>15</v>
      </c>
      <c r="B1" s="5"/>
      <c r="C1" s="5"/>
      <c r="D1" s="5"/>
      <c r="E1" s="5"/>
      <c r="F1" s="5"/>
    </row>
    <row r="3" spans="1:6" ht="15" customHeight="1" x14ac:dyDescent="0.3">
      <c r="A3" s="4" t="s">
        <v>16</v>
      </c>
      <c r="B3" s="4"/>
      <c r="C3" s="4"/>
      <c r="D3" s="4"/>
      <c r="E3" s="4"/>
      <c r="F3" s="4"/>
    </row>
    <row r="4" spans="1:6" ht="31.5" customHeight="1" x14ac:dyDescent="0.3">
      <c r="A4" s="18" t="s">
        <v>17</v>
      </c>
      <c r="B4" s="18" t="s">
        <v>18</v>
      </c>
      <c r="C4" s="18"/>
      <c r="D4" s="18"/>
      <c r="E4" s="18" t="s">
        <v>19</v>
      </c>
      <c r="F4" s="18"/>
    </row>
    <row r="5" spans="1:6" ht="30" customHeight="1" x14ac:dyDescent="0.3">
      <c r="A5" s="19" t="s">
        <v>20</v>
      </c>
      <c r="B5" s="3" t="s">
        <v>21</v>
      </c>
      <c r="C5" s="3"/>
      <c r="D5" s="3"/>
      <c r="E5" s="3" t="s">
        <v>22</v>
      </c>
      <c r="F5" s="3"/>
    </row>
    <row r="6" spans="1:6" ht="30" customHeight="1" x14ac:dyDescent="0.3">
      <c r="A6" s="19" t="s">
        <v>23</v>
      </c>
      <c r="B6" s="3" t="s">
        <v>24</v>
      </c>
      <c r="C6" s="3"/>
      <c r="D6" s="3"/>
      <c r="E6" s="3" t="s">
        <v>25</v>
      </c>
      <c r="F6" s="3"/>
    </row>
    <row r="7" spans="1:6" ht="30" customHeight="1" x14ac:dyDescent="0.3">
      <c r="A7" s="19" t="s">
        <v>26</v>
      </c>
      <c r="B7" s="3" t="s">
        <v>27</v>
      </c>
      <c r="C7" s="3"/>
      <c r="D7" s="3"/>
      <c r="E7" s="3" t="s">
        <v>28</v>
      </c>
      <c r="F7" s="3"/>
    </row>
    <row r="8" spans="1:6" ht="30" customHeight="1" x14ac:dyDescent="0.3">
      <c r="A8" s="19" t="s">
        <v>29</v>
      </c>
      <c r="B8" s="3" t="s">
        <v>30</v>
      </c>
      <c r="C8" s="3"/>
      <c r="D8" s="3"/>
      <c r="E8" s="3" t="s">
        <v>31</v>
      </c>
      <c r="F8" s="3"/>
    </row>
    <row r="9" spans="1:6" ht="25.5" customHeight="1" x14ac:dyDescent="0.3">
      <c r="A9" s="2" t="s">
        <v>32</v>
      </c>
      <c r="B9" s="2"/>
      <c r="C9" s="2"/>
      <c r="D9" s="2"/>
      <c r="E9" s="2"/>
      <c r="F9" s="2"/>
    </row>
    <row r="10" spans="1:6" x14ac:dyDescent="0.3">
      <c r="A10" s="21"/>
      <c r="B10" s="21"/>
      <c r="C10" s="21"/>
      <c r="D10" s="21"/>
      <c r="E10" s="21"/>
      <c r="F10" s="21"/>
    </row>
    <row r="11" spans="1:6" ht="15" customHeight="1" x14ac:dyDescent="0.3">
      <c r="A11" s="4" t="s">
        <v>33</v>
      </c>
      <c r="B11" s="4"/>
      <c r="C11" s="4"/>
      <c r="D11" s="4"/>
      <c r="E11" s="4"/>
      <c r="F11" s="4"/>
    </row>
    <row r="12" spans="1:6" ht="31.5" customHeight="1" x14ac:dyDescent="0.3">
      <c r="A12" s="18" t="s">
        <v>34</v>
      </c>
      <c r="B12" s="18" t="s">
        <v>35</v>
      </c>
      <c r="C12" s="18" t="s">
        <v>36</v>
      </c>
      <c r="D12" s="18" t="s">
        <v>37</v>
      </c>
      <c r="E12" s="18" t="s">
        <v>38</v>
      </c>
      <c r="F12" s="18" t="s">
        <v>39</v>
      </c>
    </row>
    <row r="13" spans="1:6" ht="43.5" customHeight="1" x14ac:dyDescent="0.3">
      <c r="A13" s="22" t="s">
        <v>40</v>
      </c>
      <c r="B13" s="23">
        <f>Assumptions!$B$92</f>
        <v>10</v>
      </c>
      <c r="C13" s="24" t="s">
        <v>41</v>
      </c>
      <c r="D13" s="24" t="s">
        <v>42</v>
      </c>
      <c r="E13" s="24" t="s">
        <v>43</v>
      </c>
      <c r="F13" s="24" t="s">
        <v>44</v>
      </c>
    </row>
    <row r="14" spans="1:6" ht="43.5" customHeight="1" x14ac:dyDescent="0.3">
      <c r="A14" s="22" t="s">
        <v>45</v>
      </c>
      <c r="B14" s="25">
        <f>Assumptions!$B$91</f>
        <v>2</v>
      </c>
      <c r="C14" s="24" t="s">
        <v>46</v>
      </c>
      <c r="D14" s="24" t="s">
        <v>47</v>
      </c>
      <c r="E14" s="24" t="s">
        <v>48</v>
      </c>
      <c r="F14" s="24" t="s">
        <v>44</v>
      </c>
    </row>
    <row r="15" spans="1:6" ht="43.5" customHeight="1" x14ac:dyDescent="0.3">
      <c r="A15" s="22" t="s">
        <v>49</v>
      </c>
      <c r="B15" s="26">
        <f>Assumptions!$B$95</f>
        <v>79</v>
      </c>
      <c r="C15" s="24" t="s">
        <v>46</v>
      </c>
      <c r="D15" s="24" t="s">
        <v>50</v>
      </c>
      <c r="E15" s="24" t="s">
        <v>51</v>
      </c>
      <c r="F15" s="24" t="s">
        <v>44</v>
      </c>
    </row>
    <row r="16" spans="1:6" ht="43.5" customHeight="1" x14ac:dyDescent="0.3">
      <c r="A16" s="22" t="s">
        <v>52</v>
      </c>
      <c r="B16" s="27">
        <f>Assumptions!$B$101</f>
        <v>200</v>
      </c>
      <c r="C16" s="24" t="s">
        <v>53</v>
      </c>
      <c r="D16" s="24" t="s">
        <v>54</v>
      </c>
      <c r="E16" s="24" t="s">
        <v>55</v>
      </c>
      <c r="F16" s="24" t="s">
        <v>56</v>
      </c>
    </row>
    <row r="17" spans="1:6" ht="43.5" customHeight="1" x14ac:dyDescent="0.3">
      <c r="A17" s="22" t="s">
        <v>57</v>
      </c>
      <c r="B17" s="28">
        <f>Assumptions!$B$102</f>
        <v>2500</v>
      </c>
      <c r="C17" s="24" t="s">
        <v>58</v>
      </c>
      <c r="D17" s="24" t="s">
        <v>59</v>
      </c>
      <c r="E17" s="24" t="s">
        <v>60</v>
      </c>
      <c r="F17" s="24" t="s">
        <v>56</v>
      </c>
    </row>
    <row r="18" spans="1:6" ht="25.5" customHeight="1" x14ac:dyDescent="0.3">
      <c r="A18" s="2" t="s">
        <v>61</v>
      </c>
      <c r="B18" s="2"/>
      <c r="C18" s="2"/>
      <c r="D18" s="2"/>
      <c r="E18" s="2"/>
      <c r="F18" s="2"/>
    </row>
    <row r="19" spans="1:6" x14ac:dyDescent="0.3">
      <c r="A19" s="21"/>
      <c r="B19" s="21"/>
      <c r="C19" s="21"/>
      <c r="D19" s="21"/>
      <c r="E19" s="21"/>
      <c r="F19" s="21"/>
    </row>
    <row r="20" spans="1:6" ht="15" customHeight="1" x14ac:dyDescent="0.3">
      <c r="A20" s="4" t="s">
        <v>62</v>
      </c>
      <c r="B20" s="4"/>
      <c r="C20" s="4"/>
      <c r="D20" s="4"/>
      <c r="E20" s="4"/>
      <c r="F20" s="4"/>
    </row>
    <row r="21" spans="1:6" ht="31.5" customHeight="1" x14ac:dyDescent="0.3">
      <c r="A21" s="18" t="s">
        <v>63</v>
      </c>
      <c r="B21" s="18" t="s">
        <v>64</v>
      </c>
      <c r="C21" s="18"/>
      <c r="D21" s="18"/>
      <c r="E21" s="18"/>
      <c r="F21" s="18"/>
    </row>
    <row r="22" spans="1:6" ht="30" customHeight="1" x14ac:dyDescent="0.3">
      <c r="A22" s="19" t="s">
        <v>65</v>
      </c>
      <c r="B22" s="3" t="s">
        <v>66</v>
      </c>
      <c r="C22" s="3"/>
      <c r="D22" s="3"/>
      <c r="E22" s="3"/>
      <c r="F22" s="3"/>
    </row>
    <row r="23" spans="1:6" ht="30" customHeight="1" x14ac:dyDescent="0.3">
      <c r="A23" s="19" t="s">
        <v>67</v>
      </c>
      <c r="B23" s="3" t="s">
        <v>68</v>
      </c>
      <c r="C23" s="3"/>
      <c r="D23" s="3"/>
      <c r="E23" s="3"/>
      <c r="F23" s="3"/>
    </row>
    <row r="24" spans="1:6" ht="30" customHeight="1" x14ac:dyDescent="0.3">
      <c r="A24" s="19" t="s">
        <v>69</v>
      </c>
      <c r="B24" s="3" t="s">
        <v>70</v>
      </c>
      <c r="C24" s="3"/>
      <c r="D24" s="3"/>
      <c r="E24" s="3"/>
      <c r="F24" s="3"/>
    </row>
    <row r="25" spans="1:6" ht="30" customHeight="1" x14ac:dyDescent="0.3">
      <c r="A25" s="19" t="s">
        <v>71</v>
      </c>
      <c r="B25" s="3" t="s">
        <v>72</v>
      </c>
      <c r="C25" s="3"/>
      <c r="D25" s="3"/>
      <c r="E25" s="3"/>
      <c r="F25" s="3"/>
    </row>
    <row r="26" spans="1:6" x14ac:dyDescent="0.3">
      <c r="A26" s="21"/>
      <c r="B26" s="21"/>
      <c r="C26" s="21"/>
      <c r="D26" s="21"/>
      <c r="E26" s="21"/>
      <c r="F26" s="21"/>
    </row>
    <row r="27" spans="1:6" ht="15" customHeight="1" x14ac:dyDescent="0.3">
      <c r="A27" s="4" t="s">
        <v>73</v>
      </c>
      <c r="B27" s="4"/>
      <c r="C27" s="4"/>
      <c r="D27" s="4"/>
      <c r="E27" s="4"/>
      <c r="F27" s="4"/>
    </row>
    <row r="28" spans="1:6" ht="31.5" customHeight="1" x14ac:dyDescent="0.3">
      <c r="A28" s="18" t="s">
        <v>74</v>
      </c>
      <c r="B28" s="18" t="s">
        <v>75</v>
      </c>
      <c r="C28" s="18"/>
      <c r="D28" s="18"/>
      <c r="E28" s="18" t="s">
        <v>76</v>
      </c>
      <c r="F28" s="18" t="s">
        <v>77</v>
      </c>
    </row>
    <row r="29" spans="1:6" ht="19.5" customHeight="1" x14ac:dyDescent="0.3">
      <c r="A29" s="22" t="s">
        <v>78</v>
      </c>
      <c r="B29" s="3" t="s">
        <v>79</v>
      </c>
      <c r="C29" s="3"/>
      <c r="D29" s="3"/>
      <c r="E29" s="24" t="s">
        <v>80</v>
      </c>
      <c r="F29" s="29">
        <f>0</f>
        <v>0</v>
      </c>
    </row>
    <row r="30" spans="1:6" ht="19.5" customHeight="1" x14ac:dyDescent="0.3">
      <c r="A30" s="22" t="s">
        <v>81</v>
      </c>
      <c r="B30" s="3" t="s">
        <v>82</v>
      </c>
      <c r="C30" s="3"/>
      <c r="D30" s="3"/>
      <c r="E30" s="24" t="s">
        <v>46</v>
      </c>
      <c r="F30" s="29">
        <f>MAX(0,12-Assumptions!$B$93)*Assumptions!$B$91</f>
        <v>14</v>
      </c>
    </row>
    <row r="31" spans="1:6" ht="19.5" customHeight="1" x14ac:dyDescent="0.3">
      <c r="A31" s="22" t="s">
        <v>83</v>
      </c>
      <c r="B31" s="3" t="s">
        <v>84</v>
      </c>
      <c r="C31" s="3"/>
      <c r="D31" s="3"/>
      <c r="E31" s="24" t="s">
        <v>46</v>
      </c>
      <c r="F31" s="29">
        <f>Assumptions!$B$95</f>
        <v>79</v>
      </c>
    </row>
    <row r="32" spans="1:6" ht="19.5" customHeight="1" x14ac:dyDescent="0.3">
      <c r="A32" s="22" t="s">
        <v>85</v>
      </c>
      <c r="B32" s="3" t="s">
        <v>86</v>
      </c>
      <c r="C32" s="3"/>
      <c r="D32" s="3"/>
      <c r="E32" s="24" t="s">
        <v>87</v>
      </c>
      <c r="F32" s="29">
        <f>2*Assumptions!$B$101</f>
        <v>400</v>
      </c>
    </row>
    <row r="33" spans="1:6" ht="19.5" customHeight="1" x14ac:dyDescent="0.3">
      <c r="A33" s="22" t="s">
        <v>88</v>
      </c>
      <c r="B33" s="3" t="s">
        <v>89</v>
      </c>
      <c r="C33" s="3"/>
      <c r="D33" s="3"/>
      <c r="E33" s="24" t="s">
        <v>90</v>
      </c>
      <c r="F33" s="29">
        <f>0</f>
        <v>0</v>
      </c>
    </row>
    <row r="34" spans="1:6" ht="19.5" customHeight="1" x14ac:dyDescent="0.3">
      <c r="A34" s="22" t="s">
        <v>91</v>
      </c>
      <c r="B34" s="3" t="s">
        <v>92</v>
      </c>
      <c r="C34" s="3"/>
      <c r="D34" s="3"/>
      <c r="E34" s="24" t="s">
        <v>93</v>
      </c>
      <c r="F34" s="29">
        <f>0</f>
        <v>0</v>
      </c>
    </row>
    <row r="35" spans="1:6" ht="15" customHeight="1" x14ac:dyDescent="0.3">
      <c r="A35" s="22" t="s">
        <v>94</v>
      </c>
      <c r="B35" s="3" t="s">
        <v>95</v>
      </c>
      <c r="C35" s="3"/>
      <c r="D35" s="3"/>
      <c r="E35" s="3"/>
      <c r="F35" s="30">
        <f>SUM(F29:F34)</f>
        <v>493</v>
      </c>
    </row>
    <row r="36" spans="1:6" ht="15" customHeight="1" x14ac:dyDescent="0.3">
      <c r="A36" s="22" t="s">
        <v>96</v>
      </c>
      <c r="B36" s="3" t="s">
        <v>97</v>
      </c>
      <c r="C36" s="3"/>
      <c r="D36" s="3"/>
      <c r="E36" s="3"/>
      <c r="F36" s="30">
        <f>F30+F31</f>
        <v>93</v>
      </c>
    </row>
    <row r="37" spans="1:6" x14ac:dyDescent="0.3">
      <c r="A37" s="21"/>
      <c r="B37" s="21"/>
      <c r="C37" s="21"/>
      <c r="D37" s="21"/>
      <c r="E37" s="21"/>
      <c r="F37" s="21"/>
    </row>
    <row r="38" spans="1:6" ht="15" customHeight="1" x14ac:dyDescent="0.3">
      <c r="A38" s="4" t="s">
        <v>98</v>
      </c>
      <c r="B38" s="4"/>
      <c r="C38" s="4"/>
      <c r="D38" s="4"/>
      <c r="E38" s="4"/>
      <c r="F38" s="4"/>
    </row>
    <row r="39" spans="1:6" ht="31.5" customHeight="1" x14ac:dyDescent="0.3">
      <c r="A39" s="18" t="s">
        <v>99</v>
      </c>
      <c r="B39" s="18" t="s">
        <v>100</v>
      </c>
      <c r="C39" s="18" t="s">
        <v>101</v>
      </c>
      <c r="D39" s="18"/>
      <c r="E39" s="18"/>
      <c r="F39" s="18"/>
    </row>
    <row r="40" spans="1:6" x14ac:dyDescent="0.3">
      <c r="A40" s="22" t="s">
        <v>102</v>
      </c>
      <c r="B40" s="31">
        <f>Pricing_Income!B9</f>
        <v>199520</v>
      </c>
      <c r="C40" s="32">
        <f>IF(Pricing_Income!F9&gt;0,Pricing_Income!B9/Pricing_Income!F9,0)</f>
        <v>7.4526737288768699E-2</v>
      </c>
      <c r="D40" s="21"/>
      <c r="E40" s="21"/>
      <c r="F40" s="21"/>
    </row>
    <row r="41" spans="1:6" x14ac:dyDescent="0.3">
      <c r="A41" s="22" t="s">
        <v>103</v>
      </c>
      <c r="B41" s="31">
        <f>Pricing_Income!C9</f>
        <v>328640</v>
      </c>
      <c r="C41" s="32">
        <f>IF(Pricing_Income!F9&gt;0,Pricing_Income!C9/Pricing_Income!F9,0)</f>
        <v>0.12275695139625574</v>
      </c>
      <c r="D41" s="21"/>
      <c r="E41" s="21"/>
      <c r="F41" s="21"/>
    </row>
    <row r="42" spans="1:6" x14ac:dyDescent="0.3">
      <c r="A42" s="22" t="s">
        <v>104</v>
      </c>
      <c r="B42" s="31">
        <f>Pricing_Income!D9</f>
        <v>649000</v>
      </c>
      <c r="C42" s="32">
        <f>IF(Pricing_Income!F9&gt;0,Pricing_Income!D9/Pricing_Income!F9,0)</f>
        <v>0.24242107307744026</v>
      </c>
      <c r="D42" s="21"/>
      <c r="E42" s="21"/>
      <c r="F42" s="21"/>
    </row>
    <row r="43" spans="1:6" x14ac:dyDescent="0.3">
      <c r="A43" s="22" t="s">
        <v>105</v>
      </c>
      <c r="B43" s="31">
        <f>Pricing_Income!E9</f>
        <v>1500000</v>
      </c>
      <c r="C43" s="32">
        <f>IF(Pricing_Income!F9&gt;0,Pricing_Income!E9/Pricing_Income!F9,0)</f>
        <v>0.56029523823753535</v>
      </c>
      <c r="D43" s="21"/>
      <c r="E43" s="21"/>
      <c r="F43" s="21"/>
    </row>
    <row r="44" spans="1:6" x14ac:dyDescent="0.3">
      <c r="A44" s="22" t="s">
        <v>106</v>
      </c>
      <c r="B44" s="33">
        <f>Pricing_Income!F9</f>
        <v>2677160</v>
      </c>
      <c r="C44" s="34">
        <f>SUM(C40:C43)</f>
        <v>1</v>
      </c>
      <c r="D44" s="21"/>
      <c r="E44" s="21"/>
      <c r="F44" s="21"/>
    </row>
  </sheetData>
  <mergeCells count="28">
    <mergeCell ref="B36:E36"/>
    <mergeCell ref="A38:F38"/>
    <mergeCell ref="B31:D31"/>
    <mergeCell ref="B32:D32"/>
    <mergeCell ref="B33:D33"/>
    <mergeCell ref="B34:D34"/>
    <mergeCell ref="B35:E35"/>
    <mergeCell ref="B24:F24"/>
    <mergeCell ref="B25:F25"/>
    <mergeCell ref="A27:F27"/>
    <mergeCell ref="B29:D29"/>
    <mergeCell ref="B30:D30"/>
    <mergeCell ref="A11:F11"/>
    <mergeCell ref="A18:F18"/>
    <mergeCell ref="A20:F20"/>
    <mergeCell ref="B22:F22"/>
    <mergeCell ref="B23:F23"/>
    <mergeCell ref="B7:D7"/>
    <mergeCell ref="E7:F7"/>
    <mergeCell ref="B8:D8"/>
    <mergeCell ref="E8:F8"/>
    <mergeCell ref="A9:F9"/>
    <mergeCell ref="A1:F1"/>
    <mergeCell ref="A3:F3"/>
    <mergeCell ref="B5:D5"/>
    <mergeCell ref="E5:F5"/>
    <mergeCell ref="B6:D6"/>
    <mergeCell ref="E6:F6"/>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07"/>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x14ac:dyDescent="0.3"/>
  <cols>
    <col min="1" max="1" width="52" customWidth="1"/>
    <col min="2" max="6" width="13" customWidth="1"/>
    <col min="7" max="7" width="14" customWidth="1"/>
    <col min="8" max="8" width="70" customWidth="1"/>
    <col min="9" max="9" width="22" customWidth="1"/>
  </cols>
  <sheetData>
    <row r="1" spans="1:9" ht="17.399999999999999" x14ac:dyDescent="0.3">
      <c r="A1" s="35" t="s">
        <v>107</v>
      </c>
    </row>
    <row r="2" spans="1:9" x14ac:dyDescent="0.3">
      <c r="A2" s="36" t="s">
        <v>108</v>
      </c>
    </row>
    <row r="3" spans="1:9" x14ac:dyDescent="0.3">
      <c r="A3" s="37" t="s">
        <v>109</v>
      </c>
    </row>
    <row r="6" spans="1:9" x14ac:dyDescent="0.3">
      <c r="A6" s="38" t="s">
        <v>110</v>
      </c>
      <c r="B6" s="39"/>
      <c r="C6" s="39"/>
      <c r="D6" s="39"/>
      <c r="E6" s="39"/>
      <c r="F6" s="39"/>
      <c r="G6" s="39"/>
      <c r="H6" s="39"/>
      <c r="I6" s="40" t="s">
        <v>111</v>
      </c>
    </row>
    <row r="7" spans="1:9" x14ac:dyDescent="0.3">
      <c r="A7" s="16" t="s">
        <v>112</v>
      </c>
      <c r="B7" s="41">
        <v>767421</v>
      </c>
      <c r="G7" s="42" t="s">
        <v>113</v>
      </c>
      <c r="H7" s="20" t="s">
        <v>114</v>
      </c>
      <c r="I7" s="37" t="s">
        <v>115</v>
      </c>
    </row>
    <row r="8" spans="1:9" x14ac:dyDescent="0.3">
      <c r="A8" s="16" t="s">
        <v>116</v>
      </c>
      <c r="B8" s="41">
        <v>314465</v>
      </c>
      <c r="G8" s="42" t="s">
        <v>113</v>
      </c>
      <c r="H8" s="20" t="s">
        <v>117</v>
      </c>
      <c r="I8" s="37" t="s">
        <v>118</v>
      </c>
    </row>
    <row r="9" spans="1:9" x14ac:dyDescent="0.3">
      <c r="A9" s="16" t="s">
        <v>119</v>
      </c>
      <c r="B9" s="41">
        <v>59316</v>
      </c>
      <c r="G9" s="42" t="s">
        <v>113</v>
      </c>
      <c r="H9" s="20" t="s">
        <v>120</v>
      </c>
      <c r="I9" s="37" t="s">
        <v>118</v>
      </c>
    </row>
    <row r="10" spans="1:9" x14ac:dyDescent="0.3">
      <c r="A10" s="16" t="s">
        <v>121</v>
      </c>
      <c r="B10" s="41">
        <v>136453</v>
      </c>
      <c r="G10" s="42" t="s">
        <v>113</v>
      </c>
      <c r="H10" s="20" t="s">
        <v>122</v>
      </c>
      <c r="I10" s="37" t="s">
        <v>123</v>
      </c>
    </row>
    <row r="11" spans="1:9" ht="22.8" x14ac:dyDescent="0.3">
      <c r="A11" s="43" t="s">
        <v>124</v>
      </c>
      <c r="B11" s="44">
        <f>Assumptions!$B$9+Assumptions!$B$10</f>
        <v>195769</v>
      </c>
      <c r="G11" s="42" t="s">
        <v>113</v>
      </c>
      <c r="H11" s="20" t="s">
        <v>125</v>
      </c>
      <c r="I11" s="37" t="s">
        <v>126</v>
      </c>
    </row>
    <row r="13" spans="1:9" x14ac:dyDescent="0.3">
      <c r="A13" s="38" t="s">
        <v>127</v>
      </c>
      <c r="B13" s="39"/>
      <c r="C13" s="39"/>
      <c r="D13" s="39"/>
      <c r="E13" s="39"/>
      <c r="F13" s="39"/>
      <c r="G13" s="39"/>
      <c r="H13" s="39"/>
      <c r="I13" s="40" t="s">
        <v>111</v>
      </c>
    </row>
    <row r="14" spans="1:9" ht="31.5" customHeight="1" x14ac:dyDescent="0.3">
      <c r="A14" s="18" t="s">
        <v>34</v>
      </c>
      <c r="B14" s="18" t="s">
        <v>128</v>
      </c>
      <c r="C14" s="18" t="s">
        <v>129</v>
      </c>
      <c r="D14" s="18" t="s">
        <v>130</v>
      </c>
      <c r="E14" s="18" t="s">
        <v>131</v>
      </c>
      <c r="F14" s="18" t="s">
        <v>132</v>
      </c>
      <c r="G14" s="18" t="s">
        <v>133</v>
      </c>
      <c r="H14" s="18" t="s">
        <v>134</v>
      </c>
      <c r="I14" s="18" t="s">
        <v>111</v>
      </c>
    </row>
    <row r="15" spans="1:9" ht="22.8" x14ac:dyDescent="0.3">
      <c r="A15" s="16" t="s">
        <v>135</v>
      </c>
      <c r="B15" s="41">
        <v>300</v>
      </c>
      <c r="C15" s="41">
        <v>1500</v>
      </c>
      <c r="D15" s="41">
        <v>3000</v>
      </c>
      <c r="E15" s="41">
        <v>6000</v>
      </c>
      <c r="F15" s="41">
        <v>10000</v>
      </c>
      <c r="G15" s="42" t="s">
        <v>136</v>
      </c>
      <c r="H15" s="20" t="s">
        <v>137</v>
      </c>
      <c r="I15" s="37" t="s">
        <v>138</v>
      </c>
    </row>
    <row r="16" spans="1:9" x14ac:dyDescent="0.3">
      <c r="A16" s="16" t="s">
        <v>139</v>
      </c>
      <c r="B16" s="45">
        <v>1</v>
      </c>
      <c r="G16" s="42" t="s">
        <v>140</v>
      </c>
      <c r="H16" s="20" t="s">
        <v>141</v>
      </c>
      <c r="I16" s="37" t="s">
        <v>142</v>
      </c>
    </row>
    <row r="17" spans="1:9" x14ac:dyDescent="0.3">
      <c r="A17" s="16" t="s">
        <v>143</v>
      </c>
      <c r="B17" s="41">
        <v>12</v>
      </c>
      <c r="G17" s="42" t="s">
        <v>144</v>
      </c>
      <c r="H17" s="20" t="s">
        <v>145</v>
      </c>
      <c r="I17" s="37" t="s">
        <v>146</v>
      </c>
    </row>
    <row r="18" spans="1:9" ht="22.8" x14ac:dyDescent="0.3">
      <c r="A18" s="16" t="s">
        <v>147</v>
      </c>
      <c r="B18" s="45">
        <v>0.6</v>
      </c>
      <c r="G18" s="42" t="s">
        <v>148</v>
      </c>
      <c r="H18" s="20" t="s">
        <v>149</v>
      </c>
      <c r="I18" s="37" t="s">
        <v>150</v>
      </c>
    </row>
    <row r="19" spans="1:9" ht="45.6" x14ac:dyDescent="0.3">
      <c r="A19" s="16" t="s">
        <v>151</v>
      </c>
      <c r="B19" s="45">
        <v>0.2</v>
      </c>
      <c r="G19" s="42" t="s">
        <v>148</v>
      </c>
      <c r="H19" s="20" t="s">
        <v>152</v>
      </c>
      <c r="I19" s="37" t="s">
        <v>153</v>
      </c>
    </row>
    <row r="20" spans="1:9" ht="22.8" x14ac:dyDescent="0.3">
      <c r="A20" s="16" t="s">
        <v>154</v>
      </c>
      <c r="B20" s="45">
        <v>0.52</v>
      </c>
      <c r="G20" s="42" t="s">
        <v>148</v>
      </c>
      <c r="H20" s="20" t="s">
        <v>155</v>
      </c>
      <c r="I20" s="37" t="s">
        <v>156</v>
      </c>
    </row>
    <row r="21" spans="1:9" x14ac:dyDescent="0.3">
      <c r="A21" s="16" t="s">
        <v>157</v>
      </c>
      <c r="B21" s="45">
        <v>0.26</v>
      </c>
      <c r="G21" s="42" t="s">
        <v>148</v>
      </c>
      <c r="H21" s="20" t="s">
        <v>158</v>
      </c>
      <c r="I21" s="37" t="s">
        <v>156</v>
      </c>
    </row>
    <row r="22" spans="1:9" x14ac:dyDescent="0.3">
      <c r="A22" s="16" t="s">
        <v>159</v>
      </c>
      <c r="B22" s="46">
        <v>1.5</v>
      </c>
      <c r="G22" s="42" t="s">
        <v>160</v>
      </c>
      <c r="H22" s="20" t="s">
        <v>161</v>
      </c>
      <c r="I22" s="37" t="s">
        <v>162</v>
      </c>
    </row>
    <row r="23" spans="1:9" ht="22.8" x14ac:dyDescent="0.3">
      <c r="A23" s="16" t="s">
        <v>163</v>
      </c>
      <c r="B23" s="41">
        <v>2</v>
      </c>
      <c r="C23" s="41">
        <v>6</v>
      </c>
      <c r="D23" s="41">
        <v>10</v>
      </c>
      <c r="E23" s="41">
        <v>14</v>
      </c>
      <c r="F23" s="41">
        <v>18</v>
      </c>
      <c r="G23" s="42" t="s">
        <v>164</v>
      </c>
      <c r="H23" s="20" t="s">
        <v>165</v>
      </c>
      <c r="I23" s="37" t="s">
        <v>166</v>
      </c>
    </row>
    <row r="25" spans="1:9" x14ac:dyDescent="0.3">
      <c r="A25" s="38" t="s">
        <v>167</v>
      </c>
      <c r="B25" s="39"/>
      <c r="C25" s="39"/>
      <c r="D25" s="39"/>
      <c r="E25" s="39"/>
      <c r="F25" s="39"/>
      <c r="G25" s="39"/>
      <c r="H25" s="39"/>
      <c r="I25" s="40" t="s">
        <v>111</v>
      </c>
    </row>
    <row r="26" spans="1:9" x14ac:dyDescent="0.3">
      <c r="A26" s="16" t="s">
        <v>168</v>
      </c>
      <c r="B26" s="41">
        <v>2693</v>
      </c>
      <c r="G26" s="42" t="s">
        <v>169</v>
      </c>
      <c r="H26" s="20" t="s">
        <v>170</v>
      </c>
      <c r="I26" s="37" t="s">
        <v>171</v>
      </c>
    </row>
    <row r="27" spans="1:9" x14ac:dyDescent="0.3">
      <c r="A27" s="16" t="s">
        <v>172</v>
      </c>
      <c r="B27" s="41">
        <v>45</v>
      </c>
      <c r="G27" s="42" t="s">
        <v>173</v>
      </c>
      <c r="H27" s="20" t="s">
        <v>174</v>
      </c>
      <c r="I27" s="37" t="s">
        <v>175</v>
      </c>
    </row>
    <row r="28" spans="1:9" x14ac:dyDescent="0.3">
      <c r="A28" s="43" t="s">
        <v>176</v>
      </c>
      <c r="B28" s="47">
        <f>Assumptions!$B$27*52/12</f>
        <v>195</v>
      </c>
      <c r="G28" s="42" t="s">
        <v>173</v>
      </c>
      <c r="H28" s="20" t="s">
        <v>177</v>
      </c>
      <c r="I28" s="37" t="s">
        <v>178</v>
      </c>
    </row>
    <row r="29" spans="1:9" x14ac:dyDescent="0.3">
      <c r="A29" s="43" t="s">
        <v>179</v>
      </c>
      <c r="B29" s="48">
        <f>Assumptions!$B$26/Assumptions!$B$28</f>
        <v>13.810256410256411</v>
      </c>
      <c r="G29" s="42" t="s">
        <v>180</v>
      </c>
      <c r="H29" s="20" t="s">
        <v>181</v>
      </c>
      <c r="I29" s="37" t="s">
        <v>182</v>
      </c>
    </row>
    <row r="30" spans="1:9" ht="22.8" x14ac:dyDescent="0.3">
      <c r="A30" s="16" t="s">
        <v>183</v>
      </c>
      <c r="B30" s="41">
        <v>20</v>
      </c>
      <c r="G30" s="42" t="s">
        <v>184</v>
      </c>
      <c r="H30" s="20" t="s">
        <v>185</v>
      </c>
      <c r="I30" s="37" t="s">
        <v>186</v>
      </c>
    </row>
    <row r="31" spans="1:9" x14ac:dyDescent="0.3">
      <c r="A31" s="16" t="s">
        <v>187</v>
      </c>
      <c r="B31" s="41">
        <v>3</v>
      </c>
      <c r="G31" s="42" t="s">
        <v>184</v>
      </c>
      <c r="H31" s="20" t="s">
        <v>188</v>
      </c>
      <c r="I31" s="37" t="s">
        <v>186</v>
      </c>
    </row>
    <row r="32" spans="1:9" ht="22.8" x14ac:dyDescent="0.3">
      <c r="A32" s="16" t="s">
        <v>189</v>
      </c>
      <c r="B32" s="46">
        <v>4</v>
      </c>
      <c r="G32" s="42" t="s">
        <v>173</v>
      </c>
      <c r="H32" s="20" t="s">
        <v>190</v>
      </c>
      <c r="I32" s="37" t="s">
        <v>186</v>
      </c>
    </row>
    <row r="33" spans="1:9" x14ac:dyDescent="0.3">
      <c r="A33" s="16" t="s">
        <v>191</v>
      </c>
      <c r="B33" s="46">
        <v>0.25</v>
      </c>
      <c r="G33" s="42" t="s">
        <v>173</v>
      </c>
      <c r="H33" s="20" t="s">
        <v>192</v>
      </c>
      <c r="I33" s="37" t="s">
        <v>186</v>
      </c>
    </row>
    <row r="35" spans="1:9" x14ac:dyDescent="0.3">
      <c r="A35" s="38" t="s">
        <v>193</v>
      </c>
      <c r="B35" s="39"/>
      <c r="C35" s="39"/>
      <c r="D35" s="39"/>
      <c r="E35" s="39"/>
      <c r="F35" s="39"/>
      <c r="G35" s="39"/>
      <c r="H35" s="39"/>
      <c r="I35" s="40" t="s">
        <v>111</v>
      </c>
    </row>
    <row r="36" spans="1:9" x14ac:dyDescent="0.3">
      <c r="A36" s="16" t="s">
        <v>194</v>
      </c>
      <c r="B36" s="49">
        <v>0.27029999999999998</v>
      </c>
      <c r="G36" s="42" t="s">
        <v>195</v>
      </c>
      <c r="H36" s="20" t="s">
        <v>196</v>
      </c>
      <c r="I36" s="37" t="s">
        <v>197</v>
      </c>
    </row>
    <row r="37" spans="1:9" x14ac:dyDescent="0.3">
      <c r="A37" s="16" t="s">
        <v>198</v>
      </c>
      <c r="B37" s="49">
        <v>8.8300000000000003E-2</v>
      </c>
      <c r="G37" s="42" t="s">
        <v>195</v>
      </c>
      <c r="H37" s="20" t="s">
        <v>196</v>
      </c>
      <c r="I37" s="37" t="s">
        <v>197</v>
      </c>
    </row>
    <row r="38" spans="1:9" x14ac:dyDescent="0.3">
      <c r="A38" s="16" t="s">
        <v>199</v>
      </c>
      <c r="B38" s="49">
        <v>0.1482</v>
      </c>
      <c r="G38" s="42" t="s">
        <v>195</v>
      </c>
      <c r="H38" s="20" t="s">
        <v>196</v>
      </c>
      <c r="I38" s="37" t="s">
        <v>197</v>
      </c>
    </row>
    <row r="39" spans="1:9" ht="22.8" x14ac:dyDescent="0.3">
      <c r="A39" s="43" t="s">
        <v>200</v>
      </c>
      <c r="B39" s="50">
        <f>Assumptions!$B$36+Assumptions!$B$37+Assumptions!$B$38</f>
        <v>0.50679999999999992</v>
      </c>
      <c r="G39" s="42" t="s">
        <v>195</v>
      </c>
      <c r="H39" s="20" t="s">
        <v>201</v>
      </c>
      <c r="I39" s="37" t="s">
        <v>202</v>
      </c>
    </row>
    <row r="40" spans="1:9" x14ac:dyDescent="0.3">
      <c r="A40" s="16" t="s">
        <v>203</v>
      </c>
      <c r="B40" s="51">
        <v>0.74</v>
      </c>
      <c r="G40" s="42" t="s">
        <v>204</v>
      </c>
      <c r="H40" s="20" t="s">
        <v>205</v>
      </c>
      <c r="I40" s="37" t="s">
        <v>206</v>
      </c>
    </row>
    <row r="41" spans="1:9" ht="22.8" x14ac:dyDescent="0.3">
      <c r="A41" s="16" t="s">
        <v>207</v>
      </c>
      <c r="B41" s="45">
        <v>0.25</v>
      </c>
      <c r="G41" s="42" t="s">
        <v>148</v>
      </c>
      <c r="H41" s="20" t="s">
        <v>208</v>
      </c>
      <c r="I41" s="37" t="s">
        <v>209</v>
      </c>
    </row>
    <row r="42" spans="1:9" ht="22.8" x14ac:dyDescent="0.3">
      <c r="A42" s="16" t="s">
        <v>210</v>
      </c>
      <c r="B42" s="45">
        <v>0.5</v>
      </c>
      <c r="G42" s="42" t="s">
        <v>148</v>
      </c>
      <c r="H42" s="20" t="s">
        <v>211</v>
      </c>
      <c r="I42" s="37" t="s">
        <v>212</v>
      </c>
    </row>
    <row r="44" spans="1:9" x14ac:dyDescent="0.3">
      <c r="A44" s="38" t="s">
        <v>213</v>
      </c>
      <c r="B44" s="39"/>
      <c r="C44" s="39"/>
      <c r="D44" s="39"/>
      <c r="E44" s="39"/>
      <c r="F44" s="39"/>
      <c r="G44" s="39"/>
      <c r="H44" s="39"/>
      <c r="I44" s="40" t="s">
        <v>111</v>
      </c>
    </row>
    <row r="45" spans="1:9" ht="39.75" customHeight="1" x14ac:dyDescent="0.3">
      <c r="A45" s="1" t="s">
        <v>214</v>
      </c>
      <c r="B45" s="1"/>
      <c r="C45" s="1"/>
      <c r="D45" s="1"/>
      <c r="E45" s="1"/>
      <c r="F45" s="1"/>
      <c r="G45" s="1"/>
      <c r="H45" s="1"/>
      <c r="I45" s="1"/>
    </row>
    <row r="46" spans="1:9" x14ac:dyDescent="0.3">
      <c r="A46" s="16" t="s">
        <v>215</v>
      </c>
      <c r="B46" s="41">
        <v>312</v>
      </c>
      <c r="G46" s="42" t="s">
        <v>216</v>
      </c>
      <c r="H46" s="20" t="s">
        <v>217</v>
      </c>
      <c r="I46" s="37" t="s">
        <v>178</v>
      </c>
    </row>
    <row r="47" spans="1:9" x14ac:dyDescent="0.3">
      <c r="A47" s="16" t="s">
        <v>218</v>
      </c>
      <c r="B47" s="41">
        <v>40</v>
      </c>
      <c r="G47" s="42" t="s">
        <v>219</v>
      </c>
      <c r="H47" s="20" t="s">
        <v>220</v>
      </c>
      <c r="I47" s="37" t="s">
        <v>221</v>
      </c>
    </row>
    <row r="48" spans="1:9" x14ac:dyDescent="0.3">
      <c r="A48" s="16" t="s">
        <v>222</v>
      </c>
      <c r="B48" s="41">
        <v>36</v>
      </c>
      <c r="G48" s="42" t="s">
        <v>223</v>
      </c>
      <c r="H48" s="20" t="s">
        <v>224</v>
      </c>
      <c r="I48" s="37" t="s">
        <v>225</v>
      </c>
    </row>
    <row r="49" spans="1:9" ht="22.8" x14ac:dyDescent="0.3">
      <c r="A49" s="16" t="s">
        <v>226</v>
      </c>
      <c r="B49" s="41">
        <v>18</v>
      </c>
      <c r="G49" s="42" t="s">
        <v>223</v>
      </c>
      <c r="H49" s="20" t="s">
        <v>227</v>
      </c>
      <c r="I49" s="37" t="s">
        <v>228</v>
      </c>
    </row>
    <row r="50" spans="1:9" x14ac:dyDescent="0.3">
      <c r="A50" s="16" t="s">
        <v>229</v>
      </c>
      <c r="B50" s="41">
        <v>12</v>
      </c>
      <c r="G50" s="42" t="s">
        <v>173</v>
      </c>
      <c r="H50" s="20" t="s">
        <v>230</v>
      </c>
      <c r="I50" s="37" t="s">
        <v>221</v>
      </c>
    </row>
    <row r="51" spans="1:9" x14ac:dyDescent="0.3">
      <c r="A51" s="16" t="s">
        <v>231</v>
      </c>
      <c r="B51" s="52">
        <v>11.11</v>
      </c>
      <c r="G51" s="42" t="s">
        <v>232</v>
      </c>
      <c r="H51" s="20" t="s">
        <v>233</v>
      </c>
      <c r="I51" s="37" t="s">
        <v>234</v>
      </c>
    </row>
    <row r="52" spans="1:9" x14ac:dyDescent="0.3">
      <c r="A52" s="16" t="s">
        <v>235</v>
      </c>
      <c r="B52" s="41">
        <v>30</v>
      </c>
      <c r="G52" s="42" t="s">
        <v>232</v>
      </c>
      <c r="H52" s="20" t="s">
        <v>236</v>
      </c>
      <c r="I52" s="37" t="s">
        <v>237</v>
      </c>
    </row>
    <row r="53" spans="1:9" x14ac:dyDescent="0.3">
      <c r="A53" s="43" t="s">
        <v>238</v>
      </c>
      <c r="B53" s="48">
        <f>Assumptions!$B$51+Assumptions!$B$52</f>
        <v>41.11</v>
      </c>
      <c r="G53" s="42" t="s">
        <v>232</v>
      </c>
      <c r="H53" s="20" t="s">
        <v>239</v>
      </c>
      <c r="I53" s="37" t="s">
        <v>240</v>
      </c>
    </row>
    <row r="54" spans="1:9" x14ac:dyDescent="0.3">
      <c r="A54" s="16" t="s">
        <v>241</v>
      </c>
      <c r="B54" s="41">
        <v>3</v>
      </c>
      <c r="G54" s="42" t="s">
        <v>242</v>
      </c>
      <c r="H54" s="20" t="s">
        <v>243</v>
      </c>
      <c r="I54" s="37" t="s">
        <v>221</v>
      </c>
    </row>
    <row r="55" spans="1:9" x14ac:dyDescent="0.3">
      <c r="A55" s="16" t="s">
        <v>244</v>
      </c>
      <c r="B55" s="53">
        <v>1.02</v>
      </c>
      <c r="G55" s="42" t="s">
        <v>245</v>
      </c>
      <c r="H55" s="20" t="s">
        <v>246</v>
      </c>
      <c r="I55" s="37" t="s">
        <v>247</v>
      </c>
    </row>
    <row r="56" spans="1:9" x14ac:dyDescent="0.3">
      <c r="A56" s="16" t="s">
        <v>248</v>
      </c>
      <c r="B56" s="41">
        <v>10</v>
      </c>
      <c r="G56" s="42" t="s">
        <v>173</v>
      </c>
      <c r="H56" s="20" t="s">
        <v>249</v>
      </c>
      <c r="I56" s="37" t="s">
        <v>221</v>
      </c>
    </row>
    <row r="57" spans="1:9" ht="22.8" x14ac:dyDescent="0.3">
      <c r="A57" s="16" t="s">
        <v>250</v>
      </c>
      <c r="B57" s="45">
        <v>0.33</v>
      </c>
      <c r="G57" s="42" t="s">
        <v>148</v>
      </c>
      <c r="H57" s="20" t="s">
        <v>251</v>
      </c>
      <c r="I57" s="37" t="s">
        <v>252</v>
      </c>
    </row>
    <row r="58" spans="1:9" x14ac:dyDescent="0.3">
      <c r="A58" s="16" t="s">
        <v>253</v>
      </c>
      <c r="B58" s="41">
        <v>1850</v>
      </c>
      <c r="G58" s="42" t="s">
        <v>254</v>
      </c>
      <c r="H58" s="20" t="s">
        <v>255</v>
      </c>
      <c r="I58" s="37" t="s">
        <v>256</v>
      </c>
    </row>
    <row r="59" spans="1:9" x14ac:dyDescent="0.3">
      <c r="A59" s="16" t="s">
        <v>257</v>
      </c>
      <c r="B59" s="41">
        <v>350</v>
      </c>
      <c r="G59" s="42" t="s">
        <v>254</v>
      </c>
      <c r="H59" s="20" t="s">
        <v>258</v>
      </c>
      <c r="I59" s="37" t="s">
        <v>259</v>
      </c>
    </row>
    <row r="60" spans="1:9" x14ac:dyDescent="0.3">
      <c r="A60" s="43" t="s">
        <v>260</v>
      </c>
      <c r="B60" s="44">
        <f>Assumptions!$B$58+Assumptions!$B$59</f>
        <v>2200</v>
      </c>
      <c r="G60" s="42" t="s">
        <v>254</v>
      </c>
      <c r="H60" s="20" t="s">
        <v>261</v>
      </c>
      <c r="I60" s="37" t="s">
        <v>262</v>
      </c>
    </row>
    <row r="61" spans="1:9" x14ac:dyDescent="0.3">
      <c r="A61" s="16" t="s">
        <v>263</v>
      </c>
      <c r="B61" s="41">
        <v>30</v>
      </c>
      <c r="G61" s="42" t="s">
        <v>264</v>
      </c>
      <c r="H61" s="20" t="s">
        <v>265</v>
      </c>
      <c r="I61" s="37" t="s">
        <v>221</v>
      </c>
    </row>
    <row r="62" spans="1:9" x14ac:dyDescent="0.3">
      <c r="A62" s="16" t="s">
        <v>266</v>
      </c>
      <c r="B62" s="41">
        <v>1320</v>
      </c>
      <c r="G62" s="42" t="s">
        <v>267</v>
      </c>
      <c r="H62" s="20" t="s">
        <v>268</v>
      </c>
      <c r="I62" s="37" t="s">
        <v>269</v>
      </c>
    </row>
    <row r="63" spans="1:9" x14ac:dyDescent="0.3">
      <c r="A63" s="16" t="s">
        <v>270</v>
      </c>
      <c r="B63" s="45">
        <v>1</v>
      </c>
      <c r="G63" s="42" t="s">
        <v>148</v>
      </c>
      <c r="H63" s="20" t="s">
        <v>271</v>
      </c>
      <c r="I63" s="37" t="s">
        <v>221</v>
      </c>
    </row>
    <row r="64" spans="1:9" ht="22.8" x14ac:dyDescent="0.3">
      <c r="A64" s="16" t="s">
        <v>272</v>
      </c>
      <c r="B64" s="41">
        <v>2000</v>
      </c>
      <c r="G64" s="42" t="s">
        <v>273</v>
      </c>
      <c r="H64" s="20" t="s">
        <v>274</v>
      </c>
      <c r="I64" s="37" t="s">
        <v>275</v>
      </c>
    </row>
    <row r="65" spans="1:9" x14ac:dyDescent="0.3">
      <c r="A65" s="16" t="s">
        <v>276</v>
      </c>
      <c r="B65" s="45">
        <v>0.5</v>
      </c>
      <c r="G65" s="42" t="s">
        <v>148</v>
      </c>
      <c r="H65" s="20" t="s">
        <v>277</v>
      </c>
      <c r="I65" s="37" t="s">
        <v>209</v>
      </c>
    </row>
    <row r="66" spans="1:9" x14ac:dyDescent="0.3">
      <c r="A66" s="16" t="s">
        <v>278</v>
      </c>
      <c r="B66" s="45">
        <v>0.35</v>
      </c>
      <c r="G66" s="42" t="s">
        <v>148</v>
      </c>
      <c r="H66" s="20" t="s">
        <v>279</v>
      </c>
      <c r="I66" s="37" t="s">
        <v>221</v>
      </c>
    </row>
    <row r="67" spans="1:9" ht="22.8" x14ac:dyDescent="0.3">
      <c r="A67" s="16" t="s">
        <v>280</v>
      </c>
      <c r="B67" s="45">
        <v>0.15</v>
      </c>
      <c r="G67" s="42" t="s">
        <v>148</v>
      </c>
      <c r="H67" s="20" t="s">
        <v>281</v>
      </c>
      <c r="I67" s="37" t="s">
        <v>221</v>
      </c>
    </row>
    <row r="69" spans="1:9" x14ac:dyDescent="0.3">
      <c r="A69" s="38" t="s">
        <v>282</v>
      </c>
      <c r="B69" s="39"/>
      <c r="C69" s="39"/>
      <c r="D69" s="39"/>
      <c r="E69" s="39"/>
      <c r="F69" s="39"/>
      <c r="G69" s="39"/>
      <c r="H69" s="39"/>
      <c r="I69" s="40" t="s">
        <v>111</v>
      </c>
    </row>
    <row r="70" spans="1:9" x14ac:dyDescent="0.3">
      <c r="A70" s="16" t="s">
        <v>283</v>
      </c>
      <c r="B70" s="49">
        <v>4.0834999999999999</v>
      </c>
      <c r="G70" s="42" t="s">
        <v>284</v>
      </c>
      <c r="H70" s="20" t="s">
        <v>285</v>
      </c>
      <c r="I70" s="37" t="s">
        <v>286</v>
      </c>
    </row>
    <row r="71" spans="1:9" x14ac:dyDescent="0.3">
      <c r="A71" s="16" t="s">
        <v>287</v>
      </c>
      <c r="B71" s="52">
        <v>0.69</v>
      </c>
      <c r="G71" s="42" t="s">
        <v>288</v>
      </c>
      <c r="H71" s="20" t="s">
        <v>289</v>
      </c>
      <c r="I71" s="37" t="s">
        <v>290</v>
      </c>
    </row>
    <row r="72" spans="1:9" ht="22.8" x14ac:dyDescent="0.3">
      <c r="A72" s="16" t="s">
        <v>291</v>
      </c>
      <c r="B72" s="41">
        <v>20</v>
      </c>
      <c r="G72" s="42" t="s">
        <v>292</v>
      </c>
      <c r="H72" s="20" t="s">
        <v>293</v>
      </c>
      <c r="I72" s="37" t="s">
        <v>294</v>
      </c>
    </row>
    <row r="73" spans="1:9" x14ac:dyDescent="0.3">
      <c r="A73" s="16" t="s">
        <v>295</v>
      </c>
      <c r="B73" s="41">
        <v>1</v>
      </c>
      <c r="G73" s="42" t="s">
        <v>296</v>
      </c>
      <c r="H73" s="20" t="s">
        <v>297</v>
      </c>
      <c r="I73" s="37" t="s">
        <v>221</v>
      </c>
    </row>
    <row r="74" spans="1:9" x14ac:dyDescent="0.3">
      <c r="A74" s="16" t="s">
        <v>298</v>
      </c>
      <c r="B74" s="41">
        <v>12</v>
      </c>
      <c r="G74" s="42" t="s">
        <v>299</v>
      </c>
      <c r="H74" s="20" t="s">
        <v>300</v>
      </c>
      <c r="I74" s="37" t="s">
        <v>301</v>
      </c>
    </row>
    <row r="75" spans="1:9" x14ac:dyDescent="0.3">
      <c r="A75" s="16" t="s">
        <v>302</v>
      </c>
      <c r="B75" s="49">
        <v>2.5000000000000001E-3</v>
      </c>
      <c r="G75" s="42" t="s">
        <v>303</v>
      </c>
      <c r="H75" s="20" t="s">
        <v>304</v>
      </c>
      <c r="I75" s="37" t="s">
        <v>305</v>
      </c>
    </row>
    <row r="76" spans="1:9" x14ac:dyDescent="0.3">
      <c r="A76" s="16" t="s">
        <v>306</v>
      </c>
      <c r="B76" s="41">
        <v>36</v>
      </c>
      <c r="G76" s="42" t="s">
        <v>307</v>
      </c>
      <c r="H76" s="20" t="s">
        <v>308</v>
      </c>
      <c r="I76" s="37" t="s">
        <v>309</v>
      </c>
    </row>
    <row r="77" spans="1:9" x14ac:dyDescent="0.3">
      <c r="A77" s="16" t="s">
        <v>310</v>
      </c>
      <c r="B77" s="41">
        <v>50</v>
      </c>
      <c r="G77" s="42" t="s">
        <v>307</v>
      </c>
      <c r="H77" s="20" t="s">
        <v>311</v>
      </c>
      <c r="I77" s="37" t="s">
        <v>221</v>
      </c>
    </row>
    <row r="78" spans="1:9" x14ac:dyDescent="0.3">
      <c r="A78" s="43" t="s">
        <v>312</v>
      </c>
      <c r="B78" s="44">
        <f>(Assumptions!$B$76+Assumptions!$B$77)*12*Assumptions!$B$70</f>
        <v>4214.1719999999996</v>
      </c>
      <c r="G78" s="42" t="s">
        <v>313</v>
      </c>
      <c r="H78" s="20" t="s">
        <v>314</v>
      </c>
      <c r="I78" s="37" t="s">
        <v>315</v>
      </c>
    </row>
    <row r="79" spans="1:9" x14ac:dyDescent="0.3">
      <c r="A79" s="16" t="s">
        <v>316</v>
      </c>
      <c r="B79" s="41">
        <v>2</v>
      </c>
      <c r="G79" s="42" t="s">
        <v>317</v>
      </c>
      <c r="H79" s="20" t="s">
        <v>318</v>
      </c>
      <c r="I79" s="37" t="s">
        <v>221</v>
      </c>
    </row>
    <row r="80" spans="1:9" ht="45.6" x14ac:dyDescent="0.3">
      <c r="A80" s="16" t="s">
        <v>319</v>
      </c>
      <c r="B80" s="46">
        <v>1</v>
      </c>
      <c r="C80" s="46">
        <v>1.5</v>
      </c>
      <c r="D80" s="46">
        <v>2.5</v>
      </c>
      <c r="E80" s="46">
        <v>4</v>
      </c>
      <c r="F80" s="46">
        <v>5</v>
      </c>
      <c r="G80" s="42" t="s">
        <v>320</v>
      </c>
      <c r="H80" s="20" t="s">
        <v>321</v>
      </c>
      <c r="I80" s="37" t="s">
        <v>322</v>
      </c>
    </row>
    <row r="81" spans="1:9" x14ac:dyDescent="0.3">
      <c r="A81" s="16" t="s">
        <v>323</v>
      </c>
      <c r="B81" s="41">
        <v>6124</v>
      </c>
      <c r="G81" s="42" t="s">
        <v>169</v>
      </c>
      <c r="H81" s="20" t="s">
        <v>324</v>
      </c>
      <c r="I81" s="37" t="s">
        <v>171</v>
      </c>
    </row>
    <row r="82" spans="1:9" x14ac:dyDescent="0.3">
      <c r="A82" s="16" t="s">
        <v>325</v>
      </c>
      <c r="B82" s="45">
        <v>0.12</v>
      </c>
      <c r="G82" s="42" t="s">
        <v>148</v>
      </c>
      <c r="H82" s="20" t="s">
        <v>326</v>
      </c>
      <c r="I82" s="37" t="s">
        <v>327</v>
      </c>
    </row>
    <row r="83" spans="1:9" x14ac:dyDescent="0.3">
      <c r="A83" s="16" t="s">
        <v>328</v>
      </c>
      <c r="B83" s="45">
        <v>1.7500000000000002E-2</v>
      </c>
      <c r="G83" s="42" t="s">
        <v>148</v>
      </c>
      <c r="H83" s="20"/>
      <c r="I83" s="37" t="s">
        <v>327</v>
      </c>
    </row>
    <row r="84" spans="1:9" x14ac:dyDescent="0.3">
      <c r="A84" s="16" t="s">
        <v>329</v>
      </c>
      <c r="B84" s="45">
        <v>2E-3</v>
      </c>
      <c r="G84" s="42" t="s">
        <v>148</v>
      </c>
      <c r="H84" s="20"/>
      <c r="I84" s="37" t="s">
        <v>327</v>
      </c>
    </row>
    <row r="85" spans="1:9" ht="45.6" x14ac:dyDescent="0.3">
      <c r="A85" s="16" t="s">
        <v>330</v>
      </c>
      <c r="B85" s="41">
        <v>20</v>
      </c>
      <c r="G85" s="42" t="s">
        <v>331</v>
      </c>
      <c r="H85" s="20" t="s">
        <v>332</v>
      </c>
      <c r="I85" s="37" t="s">
        <v>333</v>
      </c>
    </row>
    <row r="86" spans="1:9" ht="22.8" x14ac:dyDescent="0.3">
      <c r="A86" s="16" t="s">
        <v>334</v>
      </c>
      <c r="B86" s="41">
        <v>15000</v>
      </c>
      <c r="C86" s="41">
        <v>8000</v>
      </c>
      <c r="D86" s="41">
        <v>8000</v>
      </c>
      <c r="E86" s="41">
        <v>10000</v>
      </c>
      <c r="F86" s="41">
        <v>10000</v>
      </c>
      <c r="G86" s="42" t="s">
        <v>313</v>
      </c>
      <c r="H86" s="20" t="s">
        <v>335</v>
      </c>
      <c r="I86" s="37" t="s">
        <v>336</v>
      </c>
    </row>
    <row r="87" spans="1:9" ht="34.200000000000003" x14ac:dyDescent="0.3">
      <c r="A87" s="16" t="s">
        <v>337</v>
      </c>
      <c r="B87" s="41">
        <v>20000</v>
      </c>
      <c r="G87" s="42" t="s">
        <v>338</v>
      </c>
      <c r="H87" s="20" t="s">
        <v>339</v>
      </c>
      <c r="I87" s="37" t="s">
        <v>340</v>
      </c>
    </row>
    <row r="88" spans="1:9" x14ac:dyDescent="0.3">
      <c r="A88" s="16" t="s">
        <v>341</v>
      </c>
      <c r="B88" s="41">
        <v>10000</v>
      </c>
      <c r="G88" s="42" t="s">
        <v>313</v>
      </c>
      <c r="H88" s="20" t="s">
        <v>342</v>
      </c>
      <c r="I88" s="37" t="s">
        <v>322</v>
      </c>
    </row>
    <row r="90" spans="1:9" x14ac:dyDescent="0.3">
      <c r="A90" s="38" t="s">
        <v>343</v>
      </c>
      <c r="B90" s="39"/>
      <c r="C90" s="39"/>
      <c r="D90" s="39"/>
      <c r="E90" s="39"/>
      <c r="F90" s="39"/>
      <c r="G90" s="39"/>
      <c r="H90" s="39"/>
      <c r="I90" s="40" t="s">
        <v>111</v>
      </c>
    </row>
    <row r="91" spans="1:9" ht="34.200000000000003" x14ac:dyDescent="0.3">
      <c r="A91" s="16" t="s">
        <v>344</v>
      </c>
      <c r="B91" s="52">
        <v>2</v>
      </c>
      <c r="G91" s="42" t="s">
        <v>345</v>
      </c>
      <c r="H91" s="20" t="s">
        <v>346</v>
      </c>
      <c r="I91" s="37" t="s">
        <v>182</v>
      </c>
    </row>
    <row r="92" spans="1:9" ht="22.8" x14ac:dyDescent="0.3">
      <c r="A92" s="16" t="s">
        <v>347</v>
      </c>
      <c r="B92" s="41">
        <v>10</v>
      </c>
      <c r="G92" s="42" t="s">
        <v>338</v>
      </c>
      <c r="H92" s="20" t="s">
        <v>348</v>
      </c>
      <c r="I92" s="37" t="s">
        <v>221</v>
      </c>
    </row>
    <row r="93" spans="1:9" x14ac:dyDescent="0.3">
      <c r="A93" s="43" t="s">
        <v>349</v>
      </c>
      <c r="B93" s="44">
        <f>IF(Assumptions!$B$91&gt;0,Assumptions!$B$92/Assumptions!$B$91,0)</f>
        <v>5</v>
      </c>
      <c r="G93" s="42" t="s">
        <v>350</v>
      </c>
      <c r="H93" s="20" t="s">
        <v>351</v>
      </c>
      <c r="I93" s="37" t="s">
        <v>352</v>
      </c>
    </row>
    <row r="94" spans="1:9" x14ac:dyDescent="0.3">
      <c r="A94" s="16" t="s">
        <v>353</v>
      </c>
      <c r="B94" s="41">
        <v>20</v>
      </c>
      <c r="G94" s="42" t="s">
        <v>354</v>
      </c>
      <c r="H94" s="20" t="s">
        <v>355</v>
      </c>
      <c r="I94" s="37" t="s">
        <v>221</v>
      </c>
    </row>
    <row r="95" spans="1:9" ht="57" x14ac:dyDescent="0.3">
      <c r="A95" s="16" t="s">
        <v>49</v>
      </c>
      <c r="B95" s="41">
        <v>79</v>
      </c>
      <c r="G95" s="42" t="s">
        <v>356</v>
      </c>
      <c r="H95" s="20" t="s">
        <v>357</v>
      </c>
      <c r="I95" s="37" t="s">
        <v>358</v>
      </c>
    </row>
    <row r="96" spans="1:9" ht="22.8" x14ac:dyDescent="0.3">
      <c r="A96" s="16" t="s">
        <v>359</v>
      </c>
      <c r="B96" s="45">
        <v>0.03</v>
      </c>
      <c r="G96" s="42" t="s">
        <v>148</v>
      </c>
      <c r="H96" s="20" t="s">
        <v>360</v>
      </c>
      <c r="I96" s="37" t="s">
        <v>361</v>
      </c>
    </row>
    <row r="97" spans="1:9" ht="22.8" x14ac:dyDescent="0.3">
      <c r="A97" s="16" t="s">
        <v>362</v>
      </c>
      <c r="B97" s="52">
        <v>1</v>
      </c>
      <c r="G97" s="42" t="s">
        <v>363</v>
      </c>
      <c r="H97" s="20" t="s">
        <v>364</v>
      </c>
      <c r="I97" s="37" t="s">
        <v>361</v>
      </c>
    </row>
    <row r="98" spans="1:9" x14ac:dyDescent="0.3">
      <c r="A98" s="16" t="s">
        <v>365</v>
      </c>
      <c r="B98" s="49">
        <v>2.8477999999999999</v>
      </c>
      <c r="G98" s="42" t="s">
        <v>366</v>
      </c>
      <c r="H98" s="20" t="s">
        <v>285</v>
      </c>
      <c r="I98" s="37" t="s">
        <v>286</v>
      </c>
    </row>
    <row r="99" spans="1:9" x14ac:dyDescent="0.3">
      <c r="A99" s="16" t="s">
        <v>367</v>
      </c>
      <c r="B99" s="41">
        <v>150</v>
      </c>
      <c r="G99" s="42" t="s">
        <v>368</v>
      </c>
      <c r="H99" s="20" t="s">
        <v>369</v>
      </c>
      <c r="I99" s="37" t="s">
        <v>370</v>
      </c>
    </row>
    <row r="100" spans="1:9" x14ac:dyDescent="0.3">
      <c r="A100" s="43" t="s">
        <v>371</v>
      </c>
      <c r="B100" s="44">
        <f>Assumptions!$B$99*Assumptions!$B$98</f>
        <v>427.16999999999996</v>
      </c>
      <c r="G100" s="42" t="s">
        <v>372</v>
      </c>
      <c r="H100" s="20" t="s">
        <v>373</v>
      </c>
      <c r="I100" s="37" t="s">
        <v>374</v>
      </c>
    </row>
    <row r="101" spans="1:9" ht="22.8" x14ac:dyDescent="0.3">
      <c r="A101" s="16" t="s">
        <v>375</v>
      </c>
      <c r="B101" s="41">
        <v>200</v>
      </c>
      <c r="G101" s="42" t="s">
        <v>376</v>
      </c>
      <c r="H101" s="20" t="s">
        <v>377</v>
      </c>
      <c r="I101" s="37" t="s">
        <v>162</v>
      </c>
    </row>
    <row r="102" spans="1:9" ht="34.200000000000003" x14ac:dyDescent="0.3">
      <c r="A102" s="16" t="s">
        <v>378</v>
      </c>
      <c r="B102" s="41">
        <v>2500</v>
      </c>
      <c r="G102" s="42" t="s">
        <v>169</v>
      </c>
      <c r="H102" s="20" t="s">
        <v>379</v>
      </c>
      <c r="I102" s="37" t="s">
        <v>333</v>
      </c>
    </row>
    <row r="103" spans="1:9" ht="31.5" customHeight="1" x14ac:dyDescent="0.3">
      <c r="A103" s="1" t="s">
        <v>380</v>
      </c>
      <c r="B103" s="1"/>
      <c r="C103" s="1"/>
      <c r="D103" s="1"/>
      <c r="E103" s="1"/>
      <c r="F103" s="1"/>
      <c r="G103" s="1"/>
      <c r="H103" s="1"/>
      <c r="I103" s="1"/>
    </row>
    <row r="106" spans="1:9" x14ac:dyDescent="0.3">
      <c r="A106" s="38" t="s">
        <v>381</v>
      </c>
      <c r="B106" s="39"/>
      <c r="C106" s="39"/>
      <c r="D106" s="39"/>
      <c r="E106" s="39"/>
      <c r="F106" s="39"/>
      <c r="G106" s="39"/>
      <c r="H106" s="39"/>
      <c r="I106" s="40" t="s">
        <v>111</v>
      </c>
    </row>
    <row r="107" spans="1:9" ht="22.8" x14ac:dyDescent="0.3">
      <c r="A107" s="16" t="s">
        <v>382</v>
      </c>
      <c r="B107" s="45">
        <v>0.3</v>
      </c>
      <c r="G107" s="42" t="s">
        <v>148</v>
      </c>
      <c r="H107" s="20" t="s">
        <v>383</v>
      </c>
      <c r="I107" s="37" t="s">
        <v>384</v>
      </c>
    </row>
  </sheetData>
  <mergeCells count="2">
    <mergeCell ref="A45:I45"/>
    <mergeCell ref="A103:I103"/>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2"/>
  <sheetViews>
    <sheetView zoomScaleNormal="100" workbookViewId="0">
      <selection activeCell="B19" sqref="B19"/>
    </sheetView>
  </sheetViews>
  <sheetFormatPr defaultColWidth="8.6640625" defaultRowHeight="14.4" x14ac:dyDescent="0.3"/>
  <cols>
    <col min="1" max="1" width="26" customWidth="1"/>
    <col min="2" max="6" width="16" customWidth="1"/>
    <col min="7" max="7" width="12" customWidth="1"/>
    <col min="8" max="8" width="62" customWidth="1"/>
  </cols>
  <sheetData>
    <row r="1" spans="1:8" ht="17.399999999999999" x14ac:dyDescent="0.3">
      <c r="A1" s="35" t="s">
        <v>385</v>
      </c>
    </row>
    <row r="2" spans="1:8" x14ac:dyDescent="0.3">
      <c r="A2" s="36" t="s">
        <v>386</v>
      </c>
    </row>
    <row r="4" spans="1:8" ht="31.5" customHeight="1" x14ac:dyDescent="0.3">
      <c r="A4" s="18" t="s">
        <v>387</v>
      </c>
      <c r="B4" s="18" t="s">
        <v>388</v>
      </c>
      <c r="C4" s="18" t="s">
        <v>389</v>
      </c>
      <c r="D4" s="18" t="s">
        <v>390</v>
      </c>
      <c r="E4" s="18" t="s">
        <v>391</v>
      </c>
      <c r="F4" s="18" t="s">
        <v>392</v>
      </c>
      <c r="G4" s="18" t="s">
        <v>393</v>
      </c>
      <c r="H4" s="18" t="s">
        <v>394</v>
      </c>
    </row>
    <row r="5" spans="1:8" x14ac:dyDescent="0.3">
      <c r="A5" s="54" t="s">
        <v>395</v>
      </c>
      <c r="B5" s="44">
        <f>Assumptions!$B$47*(Assumptions!$B$48-Assumptions!$B$49)/1000*Assumptions!$B$50*Assumptions!$B$46</f>
        <v>2695.6800000000003</v>
      </c>
      <c r="C5" s="44">
        <f>B5*Assumptions!$B$39</f>
        <v>1366.1706239999999</v>
      </c>
      <c r="D5" s="55">
        <f>B5*Assumptions!$B$40/1000</f>
        <v>1.9948032000000002</v>
      </c>
      <c r="E5" s="44">
        <f>Assumptions!$B$47*Assumptions!$B$53</f>
        <v>1644.4</v>
      </c>
      <c r="F5" s="56">
        <f>IF(C5&gt;0,E5/C5,0)</f>
        <v>1.2036563889694647</v>
      </c>
      <c r="G5" s="57">
        <f>Assumptions!$B$65</f>
        <v>0.5</v>
      </c>
      <c r="H5" s="58" t="s">
        <v>396</v>
      </c>
    </row>
    <row r="6" spans="1:8" x14ac:dyDescent="0.3">
      <c r="A6" s="54" t="s">
        <v>397</v>
      </c>
      <c r="B6" s="44">
        <f>Assumptions!$B$54*Assumptions!$B$55*Assumptions!$B$56*Assumptions!$B$46*Assumptions!$B$57</f>
        <v>3150.5760000000005</v>
      </c>
      <c r="C6" s="44">
        <f>B6*Assumptions!$B$39</f>
        <v>1596.7119167999999</v>
      </c>
      <c r="D6" s="55">
        <f>B6*Assumptions!$B$40/1000</f>
        <v>2.3314262400000003</v>
      </c>
      <c r="E6" s="44">
        <f>Assumptions!$B$54*Assumptions!$B$60</f>
        <v>6600</v>
      </c>
      <c r="F6" s="56">
        <f>IF(C6&gt;0,E6/C6,0)</f>
        <v>4.1334945462342283</v>
      </c>
      <c r="G6" s="57">
        <f>Assumptions!$B$66</f>
        <v>0.35</v>
      </c>
      <c r="H6" s="58" t="s">
        <v>398</v>
      </c>
    </row>
    <row r="7" spans="1:8" x14ac:dyDescent="0.3">
      <c r="A7" s="54" t="s">
        <v>399</v>
      </c>
      <c r="B7" s="44">
        <f>Assumptions!$B$61*Assumptions!$B$62*Assumptions!$B$63</f>
        <v>39600</v>
      </c>
      <c r="C7" s="44">
        <f>B7*Assumptions!$B$39</f>
        <v>20069.279999999995</v>
      </c>
      <c r="D7" s="55">
        <f>B7*Assumptions!$B$40/1000</f>
        <v>29.303999999999998</v>
      </c>
      <c r="E7" s="44">
        <f>Assumptions!$B$61*Assumptions!$B$64</f>
        <v>60000</v>
      </c>
      <c r="F7" s="56">
        <f>IF(C7&gt;0,E7/C7,0)</f>
        <v>2.989643873621775</v>
      </c>
      <c r="G7" s="57">
        <f>Assumptions!$B$67</f>
        <v>0.15</v>
      </c>
      <c r="H7" s="58" t="s">
        <v>400</v>
      </c>
    </row>
    <row r="8" spans="1:8" x14ac:dyDescent="0.3">
      <c r="A8" s="59" t="s">
        <v>401</v>
      </c>
      <c r="B8" s="60">
        <f>SUMPRODUCT(B5:B7,$G$5:$G$7)</f>
        <v>8390.5416000000005</v>
      </c>
      <c r="C8" s="60">
        <f>SUMPRODUCT(C5:C7,$G$5:$G$7)</f>
        <v>4252.3264828799993</v>
      </c>
      <c r="D8" s="61">
        <f>SUMPRODUCT(D5:D7,$G$5:$G$7)</f>
        <v>6.2090007840000006</v>
      </c>
      <c r="E8" s="60">
        <f>SUMPRODUCT(E5:E7,$G$5:$G$7)</f>
        <v>12132.2</v>
      </c>
      <c r="F8" s="62">
        <f>IF(C8&gt;0,E8/C8,0)</f>
        <v>2.8530734996112415</v>
      </c>
      <c r="G8" s="63">
        <f>SUM(G5:G7)</f>
        <v>1</v>
      </c>
      <c r="H8" s="58" t="s">
        <v>402</v>
      </c>
    </row>
    <row r="11" spans="1:8" x14ac:dyDescent="0.3">
      <c r="A11" s="64" t="s">
        <v>403</v>
      </c>
    </row>
    <row r="12" spans="1:8" x14ac:dyDescent="0.3">
      <c r="A12" s="64" t="s">
        <v>404</v>
      </c>
    </row>
  </sheetData>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14"/>
  <sheetViews>
    <sheetView zoomScaleNormal="100" workbookViewId="0">
      <selection activeCell="H18" sqref="H18"/>
    </sheetView>
  </sheetViews>
  <sheetFormatPr defaultColWidth="8.6640625" defaultRowHeight="14.4" x14ac:dyDescent="0.3"/>
  <cols>
    <col min="1" max="1" width="10" customWidth="1"/>
    <col min="2" max="2" width="12" customWidth="1"/>
    <col min="3" max="3" width="11" customWidth="1"/>
    <col min="4" max="4" width="10" customWidth="1"/>
    <col min="5" max="11" width="12" customWidth="1"/>
    <col min="12" max="12" width="14" customWidth="1"/>
    <col min="13" max="13" width="12" customWidth="1"/>
  </cols>
  <sheetData>
    <row r="1" spans="1:13" ht="17.399999999999999" x14ac:dyDescent="0.3">
      <c r="A1" s="35" t="s">
        <v>405</v>
      </c>
    </row>
    <row r="2" spans="1:13" x14ac:dyDescent="0.3">
      <c r="A2" s="36" t="s">
        <v>406</v>
      </c>
    </row>
    <row r="4" spans="1:13" ht="31.5" customHeight="1" x14ac:dyDescent="0.3">
      <c r="A4" s="18" t="s">
        <v>407</v>
      </c>
      <c r="B4" s="18" t="s">
        <v>408</v>
      </c>
      <c r="C4" s="18" t="s">
        <v>409</v>
      </c>
      <c r="D4" s="18" t="s">
        <v>410</v>
      </c>
      <c r="E4" s="18" t="s">
        <v>411</v>
      </c>
      <c r="F4" s="18" t="s">
        <v>412</v>
      </c>
      <c r="G4" s="18" t="s">
        <v>413</v>
      </c>
      <c r="H4" s="18" t="s">
        <v>414</v>
      </c>
      <c r="I4" s="18" t="s">
        <v>415</v>
      </c>
      <c r="J4" s="18" t="s">
        <v>416</v>
      </c>
      <c r="K4" s="18" t="s">
        <v>417</v>
      </c>
      <c r="L4" s="18" t="s">
        <v>418</v>
      </c>
      <c r="M4" s="18" t="s">
        <v>104</v>
      </c>
    </row>
    <row r="5" spans="1:13" x14ac:dyDescent="0.3">
      <c r="A5" s="54" t="s">
        <v>128</v>
      </c>
      <c r="B5" s="65">
        <f>ROUND(Assumptions!B15*Assumptions!$B$16,0)</f>
        <v>300</v>
      </c>
      <c r="C5" s="44">
        <f>MAX(0,B5-0)</f>
        <v>300</v>
      </c>
      <c r="D5" s="66">
        <f>IF(Assumptions!$B$11&gt;0,B5/Assumptions!$B$11,0)</f>
        <v>1.5324183093339599E-3</v>
      </c>
      <c r="E5" s="44">
        <f>ROUND(B5*Assumptions!$B$17*Assumptions!$B$18,0)</f>
        <v>2160</v>
      </c>
      <c r="F5" s="44">
        <f>MIN(E5,C5*Assumptions!$B$93)</f>
        <v>1500</v>
      </c>
      <c r="G5" s="44">
        <f>E5-F5</f>
        <v>660</v>
      </c>
      <c r="H5" s="44">
        <f>ROUND(B5*Assumptions!$B$19,0)</f>
        <v>60</v>
      </c>
      <c r="I5" s="44">
        <f>ROUND(H5*Assumptions!$B$20,0)</f>
        <v>31</v>
      </c>
      <c r="J5" s="44">
        <f>ROUND(I5*Assumptions!$B$21,0)</f>
        <v>8</v>
      </c>
      <c r="K5" s="44">
        <f>J5</f>
        <v>8</v>
      </c>
      <c r="L5" s="47">
        <f>0+J5*Assumptions!$B$42</f>
        <v>4</v>
      </c>
      <c r="M5" s="44">
        <f>ROUND(I5*Assumptions!$B$22,0)</f>
        <v>47</v>
      </c>
    </row>
    <row r="6" spans="1:13" x14ac:dyDescent="0.3">
      <c r="A6" s="54" t="s">
        <v>129</v>
      </c>
      <c r="B6" s="65">
        <f>ROUND(Assumptions!C15*Assumptions!$B$16,0)</f>
        <v>1500</v>
      </c>
      <c r="C6" s="44">
        <f>MAX(0,B6-B5)</f>
        <v>1200</v>
      </c>
      <c r="D6" s="66">
        <f>IF(Assumptions!$B$11&gt;0,B6/Assumptions!$B$11,0)</f>
        <v>7.6620915466697999E-3</v>
      </c>
      <c r="E6" s="44">
        <f>ROUND(B6*Assumptions!$B$17*Assumptions!$B$18,0)</f>
        <v>10800</v>
      </c>
      <c r="F6" s="44">
        <f>MIN(E6,C6*Assumptions!$B$93)</f>
        <v>6000</v>
      </c>
      <c r="G6" s="44">
        <f>E6-F6</f>
        <v>4800</v>
      </c>
      <c r="H6" s="44">
        <f>ROUND(B6*Assumptions!$B$19,0)</f>
        <v>300</v>
      </c>
      <c r="I6" s="44">
        <f>ROUND(H6*Assumptions!$B$20,0)</f>
        <v>156</v>
      </c>
      <c r="J6" s="44">
        <f>ROUND(I6*Assumptions!$B$21,0)</f>
        <v>41</v>
      </c>
      <c r="K6" s="44">
        <f>K5+J6</f>
        <v>49</v>
      </c>
      <c r="L6" s="47">
        <f>K5+J6*Assumptions!$B$42</f>
        <v>28.5</v>
      </c>
      <c r="M6" s="44">
        <f>ROUND(I6*Assumptions!$B$22,0)</f>
        <v>234</v>
      </c>
    </row>
    <row r="7" spans="1:13" x14ac:dyDescent="0.3">
      <c r="A7" s="54" t="s">
        <v>130</v>
      </c>
      <c r="B7" s="65">
        <f>ROUND(Assumptions!D15*Assumptions!$B$16,0)</f>
        <v>3000</v>
      </c>
      <c r="C7" s="44">
        <f>MAX(0,B7-B6)</f>
        <v>1500</v>
      </c>
      <c r="D7" s="66">
        <f>IF(Assumptions!$B$11&gt;0,B7/Assumptions!$B$11,0)</f>
        <v>1.53241830933396E-2</v>
      </c>
      <c r="E7" s="44">
        <f>ROUND(B7*Assumptions!$B$17*Assumptions!$B$18,0)</f>
        <v>21600</v>
      </c>
      <c r="F7" s="44">
        <f>MIN(E7,C7*Assumptions!$B$93)</f>
        <v>7500</v>
      </c>
      <c r="G7" s="44">
        <f>E7-F7</f>
        <v>14100</v>
      </c>
      <c r="H7" s="44">
        <f>ROUND(B7*Assumptions!$B$19,0)</f>
        <v>600</v>
      </c>
      <c r="I7" s="44">
        <f>ROUND(H7*Assumptions!$B$20,0)</f>
        <v>312</v>
      </c>
      <c r="J7" s="44">
        <f>ROUND(I7*Assumptions!$B$21,0)</f>
        <v>81</v>
      </c>
      <c r="K7" s="44">
        <f>K6+J7</f>
        <v>130</v>
      </c>
      <c r="L7" s="47">
        <f>K6+J7*Assumptions!$B$42</f>
        <v>89.5</v>
      </c>
      <c r="M7" s="44">
        <f>ROUND(I7*Assumptions!$B$22,0)</f>
        <v>468</v>
      </c>
    </row>
    <row r="8" spans="1:13" x14ac:dyDescent="0.3">
      <c r="A8" s="54" t="s">
        <v>131</v>
      </c>
      <c r="B8" s="65">
        <f>ROUND(Assumptions!E15*Assumptions!$B$16,0)</f>
        <v>6000</v>
      </c>
      <c r="C8" s="44">
        <f>MAX(0,B8-B7)</f>
        <v>3000</v>
      </c>
      <c r="D8" s="66">
        <f>IF(Assumptions!$B$11&gt;0,B8/Assumptions!$B$11,0)</f>
        <v>3.06483661866792E-2</v>
      </c>
      <c r="E8" s="44">
        <f>ROUND(B8*Assumptions!$B$17*Assumptions!$B$18,0)</f>
        <v>43200</v>
      </c>
      <c r="F8" s="44">
        <f>MIN(E8,C8*Assumptions!$B$93)</f>
        <v>15000</v>
      </c>
      <c r="G8" s="44">
        <f>E8-F8</f>
        <v>28200</v>
      </c>
      <c r="H8" s="44">
        <f>ROUND(B8*Assumptions!$B$19,0)</f>
        <v>1200</v>
      </c>
      <c r="I8" s="44">
        <f>ROUND(H8*Assumptions!$B$20,0)</f>
        <v>624</v>
      </c>
      <c r="J8" s="44">
        <f>ROUND(I8*Assumptions!$B$21,0)</f>
        <v>162</v>
      </c>
      <c r="K8" s="44">
        <f>K7+J8</f>
        <v>292</v>
      </c>
      <c r="L8" s="47">
        <f>K7+J8*Assumptions!$B$42</f>
        <v>211</v>
      </c>
      <c r="M8" s="44">
        <f>ROUND(I8*Assumptions!$B$22,0)</f>
        <v>936</v>
      </c>
    </row>
    <row r="9" spans="1:13" x14ac:dyDescent="0.3">
      <c r="A9" s="54" t="s">
        <v>132</v>
      </c>
      <c r="B9" s="65">
        <f>ROUND(Assumptions!F15*Assumptions!$B$16,0)</f>
        <v>10000</v>
      </c>
      <c r="C9" s="44">
        <f>MAX(0,B9-B8)</f>
        <v>4000</v>
      </c>
      <c r="D9" s="66">
        <f>IF(Assumptions!$B$11&gt;0,B9/Assumptions!$B$11,0)</f>
        <v>5.1080610311132001E-2</v>
      </c>
      <c r="E9" s="44">
        <f>ROUND(B9*Assumptions!$B$17*Assumptions!$B$18,0)</f>
        <v>72000</v>
      </c>
      <c r="F9" s="44">
        <f>MIN(E9,C9*Assumptions!$B$93)</f>
        <v>20000</v>
      </c>
      <c r="G9" s="44">
        <f>E9-F9</f>
        <v>52000</v>
      </c>
      <c r="H9" s="44">
        <f>ROUND(B9*Assumptions!$B$19,0)</f>
        <v>2000</v>
      </c>
      <c r="I9" s="44">
        <f>ROUND(H9*Assumptions!$B$20,0)</f>
        <v>1040</v>
      </c>
      <c r="J9" s="44">
        <f>ROUND(I9*Assumptions!$B$21,0)</f>
        <v>270</v>
      </c>
      <c r="K9" s="44">
        <f>K8+J9</f>
        <v>562</v>
      </c>
      <c r="L9" s="47">
        <f>K8+J9*Assumptions!$B$42</f>
        <v>427</v>
      </c>
      <c r="M9" s="44">
        <f>ROUND(I9*Assumptions!$B$22,0)</f>
        <v>1560</v>
      </c>
    </row>
    <row r="10" spans="1:13" x14ac:dyDescent="0.3">
      <c r="A10" s="59" t="s">
        <v>419</v>
      </c>
      <c r="B10" s="60">
        <f>SUM(B5:B9)</f>
        <v>20800</v>
      </c>
      <c r="C10" s="60">
        <f>SUM(C5:C9)</f>
        <v>10000</v>
      </c>
      <c r="E10" s="60">
        <f t="shared" ref="E10:J10" si="0">SUM(E5:E9)</f>
        <v>149760</v>
      </c>
      <c r="F10" s="60">
        <f t="shared" si="0"/>
        <v>50000</v>
      </c>
      <c r="G10" s="60">
        <f t="shared" si="0"/>
        <v>99760</v>
      </c>
      <c r="H10" s="60">
        <f t="shared" si="0"/>
        <v>4160</v>
      </c>
      <c r="I10" s="60">
        <f t="shared" si="0"/>
        <v>2163</v>
      </c>
      <c r="J10" s="60">
        <f t="shared" si="0"/>
        <v>562</v>
      </c>
      <c r="M10" s="60">
        <f>SUM(M5:M9)</f>
        <v>3245</v>
      </c>
    </row>
    <row r="12" spans="1:13" x14ac:dyDescent="0.3">
      <c r="A12" s="64" t="s">
        <v>420</v>
      </c>
    </row>
    <row r="13" spans="1:13" x14ac:dyDescent="0.3">
      <c r="A13" s="64" t="s">
        <v>421</v>
      </c>
    </row>
    <row r="14" spans="1:13" x14ac:dyDescent="0.3">
      <c r="A14" s="64" t="s">
        <v>422</v>
      </c>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15"/>
  <sheetViews>
    <sheetView zoomScaleNormal="100" workbookViewId="0"/>
  </sheetViews>
  <sheetFormatPr defaultColWidth="8.6640625" defaultRowHeight="14.4" x14ac:dyDescent="0.3"/>
  <cols>
    <col min="1" max="1" width="12" customWidth="1"/>
    <col min="2" max="2" width="16" customWidth="1"/>
    <col min="3" max="3" width="20" customWidth="1"/>
    <col min="4" max="4" width="22" customWidth="1"/>
    <col min="5" max="5" width="24" customWidth="1"/>
    <col min="6" max="6" width="20" customWidth="1"/>
    <col min="7" max="7" width="18" customWidth="1"/>
  </cols>
  <sheetData>
    <row r="1" spans="1:7" ht="17.399999999999999" x14ac:dyDescent="0.3">
      <c r="A1" s="35" t="s">
        <v>423</v>
      </c>
    </row>
    <row r="3" spans="1:7" ht="31.5" customHeight="1" x14ac:dyDescent="0.3">
      <c r="A3" s="18" t="s">
        <v>407</v>
      </c>
      <c r="B3" s="18" t="s">
        <v>424</v>
      </c>
      <c r="C3" s="18" t="s">
        <v>425</v>
      </c>
      <c r="D3" s="18" t="s">
        <v>426</v>
      </c>
      <c r="E3" s="18" t="s">
        <v>427</v>
      </c>
      <c r="F3" s="18" t="s">
        <v>428</v>
      </c>
      <c r="G3" s="18" t="s">
        <v>429</v>
      </c>
    </row>
    <row r="4" spans="1:7" x14ac:dyDescent="0.3">
      <c r="A4" s="54" t="s">
        <v>128</v>
      </c>
      <c r="B4" s="44">
        <f>Volumes!E5*(Assumptions!$B$30-Assumptions!$B$31)/60+Volumes!H5*(Assumptions!$B$32-Assumptions!$B$33)</f>
        <v>837</v>
      </c>
      <c r="C4" s="44">
        <f>Volumes!E5*(Assumptions!$B$30-Assumptions!$B$31)/60*Assumptions!$B$29</f>
        <v>8451.876923076923</v>
      </c>
      <c r="D4" s="44">
        <f>Volumes!H5*(Assumptions!$B$32-Assumptions!$B$33)*Assumptions!$B$29</f>
        <v>3107.3076923076924</v>
      </c>
      <c r="E4" s="44">
        <f>Volumes!L5*Upgrade_Calc!$C$8*Assumptions!$B$41</f>
        <v>4252.3264828799993</v>
      </c>
      <c r="F4" s="60">
        <f>C4+D4+E4</f>
        <v>15811.511098264615</v>
      </c>
      <c r="G4" s="47">
        <f>Volumes!L5*Upgrade_Calc!$D$8*Assumptions!$B$41</f>
        <v>6.2090007840000006</v>
      </c>
    </row>
    <row r="5" spans="1:7" x14ac:dyDescent="0.3">
      <c r="A5" s="54" t="s">
        <v>129</v>
      </c>
      <c r="B5" s="44">
        <f>Volumes!E6*(Assumptions!$B$30-Assumptions!$B$31)/60+Volumes!H6*(Assumptions!$B$32-Assumptions!$B$33)</f>
        <v>4185</v>
      </c>
      <c r="C5" s="44">
        <f>Volumes!E6*(Assumptions!$B$30-Assumptions!$B$31)/60*Assumptions!$B$29</f>
        <v>42259.384615384617</v>
      </c>
      <c r="D5" s="44">
        <f>Volumes!H6*(Assumptions!$B$32-Assumptions!$B$33)*Assumptions!$B$29</f>
        <v>15536.538461538463</v>
      </c>
      <c r="E5" s="44">
        <f>Volumes!L6*Upgrade_Calc!$C$8*Assumptions!$B$41</f>
        <v>30297.826190519994</v>
      </c>
      <c r="F5" s="60">
        <f>C5+D5+E5</f>
        <v>88093.749267443069</v>
      </c>
      <c r="G5" s="47">
        <f>Volumes!L6*Upgrade_Calc!$D$8*Assumptions!$B$41</f>
        <v>44.239130586000002</v>
      </c>
    </row>
    <row r="6" spans="1:7" x14ac:dyDescent="0.3">
      <c r="A6" s="54" t="s">
        <v>130</v>
      </c>
      <c r="B6" s="44">
        <f>Volumes!E7*(Assumptions!$B$30-Assumptions!$B$31)/60+Volumes!H7*(Assumptions!$B$32-Assumptions!$B$33)</f>
        <v>8370</v>
      </c>
      <c r="C6" s="44">
        <f>Volumes!E7*(Assumptions!$B$30-Assumptions!$B$31)/60*Assumptions!$B$29</f>
        <v>84518.769230769234</v>
      </c>
      <c r="D6" s="44">
        <f>Volumes!H7*(Assumptions!$B$32-Assumptions!$B$33)*Assumptions!$B$29</f>
        <v>31073.076923076926</v>
      </c>
      <c r="E6" s="44">
        <f>Volumes!L7*Upgrade_Calc!$C$8*Assumptions!$B$41</f>
        <v>95145.805054439988</v>
      </c>
      <c r="F6" s="60">
        <f>C6+D6+E6</f>
        <v>210737.65120828614</v>
      </c>
      <c r="G6" s="47">
        <f>Volumes!L7*Upgrade_Calc!$D$8*Assumptions!$B$41</f>
        <v>138.926392542</v>
      </c>
    </row>
    <row r="7" spans="1:7" x14ac:dyDescent="0.3">
      <c r="A7" s="54" t="s">
        <v>131</v>
      </c>
      <c r="B7" s="44">
        <f>Volumes!E8*(Assumptions!$B$30-Assumptions!$B$31)/60+Volumes!H8*(Assumptions!$B$32-Assumptions!$B$33)</f>
        <v>16740</v>
      </c>
      <c r="C7" s="44">
        <f>Volumes!E8*(Assumptions!$B$30-Assumptions!$B$31)/60*Assumptions!$B$29</f>
        <v>169037.53846153847</v>
      </c>
      <c r="D7" s="44">
        <f>Volumes!H8*(Assumptions!$B$32-Assumptions!$B$33)*Assumptions!$B$29</f>
        <v>62146.153846153851</v>
      </c>
      <c r="E7" s="44">
        <f>Volumes!L8*Upgrade_Calc!$C$8*Assumptions!$B$41</f>
        <v>224310.22197191996</v>
      </c>
      <c r="F7" s="60">
        <f>C7+D7+E7</f>
        <v>455493.91427961225</v>
      </c>
      <c r="G7" s="47">
        <f>Volumes!L8*Upgrade_Calc!$D$8*Assumptions!$B$41</f>
        <v>327.52479135600004</v>
      </c>
    </row>
    <row r="8" spans="1:7" x14ac:dyDescent="0.3">
      <c r="A8" s="54" t="s">
        <v>132</v>
      </c>
      <c r="B8" s="44">
        <f>Volumes!E9*(Assumptions!$B$30-Assumptions!$B$31)/60+Volumes!H9*(Assumptions!$B$32-Assumptions!$B$33)</f>
        <v>27900</v>
      </c>
      <c r="C8" s="44">
        <f>Volumes!E9*(Assumptions!$B$30-Assumptions!$B$31)/60*Assumptions!$B$29</f>
        <v>281729.23076923081</v>
      </c>
      <c r="D8" s="44">
        <f>Volumes!H9*(Assumptions!$B$32-Assumptions!$B$33)*Assumptions!$B$29</f>
        <v>103576.92307692308</v>
      </c>
      <c r="E8" s="44">
        <f>Volumes!L9*Upgrade_Calc!$C$8*Assumptions!$B$41</f>
        <v>453935.8520474399</v>
      </c>
      <c r="F8" s="60">
        <f>C8+D8+E8</f>
        <v>839242.00589359377</v>
      </c>
      <c r="G8" s="47">
        <f>Volumes!L9*Upgrade_Calc!$D$8*Assumptions!$B$41</f>
        <v>662.81083369200007</v>
      </c>
    </row>
    <row r="9" spans="1:7" x14ac:dyDescent="0.3">
      <c r="A9" s="59" t="s">
        <v>419</v>
      </c>
      <c r="B9" s="60">
        <f t="shared" ref="B9:G9" si="0">SUM(B4:B8)</f>
        <v>58032</v>
      </c>
      <c r="C9" s="60">
        <f t="shared" si="0"/>
        <v>585996.80000000005</v>
      </c>
      <c r="D9" s="60">
        <f t="shared" si="0"/>
        <v>215440</v>
      </c>
      <c r="E9" s="60">
        <f t="shared" si="0"/>
        <v>807942.03174719983</v>
      </c>
      <c r="F9" s="60">
        <f t="shared" si="0"/>
        <v>1609378.8317471999</v>
      </c>
      <c r="G9" s="60">
        <f t="shared" si="0"/>
        <v>1179.71014896</v>
      </c>
    </row>
    <row r="11" spans="1:7" x14ac:dyDescent="0.3">
      <c r="A11" s="64" t="s">
        <v>430</v>
      </c>
    </row>
    <row r="12" spans="1:7" x14ac:dyDescent="0.3">
      <c r="A12" s="64" t="s">
        <v>431</v>
      </c>
    </row>
    <row r="13" spans="1:7" x14ac:dyDescent="0.3">
      <c r="A13" s="64" t="s">
        <v>432</v>
      </c>
    </row>
    <row r="14" spans="1:7" x14ac:dyDescent="0.3">
      <c r="A14" s="64" t="s">
        <v>433</v>
      </c>
    </row>
    <row r="15" spans="1:7" x14ac:dyDescent="0.3">
      <c r="A15" s="64" t="s">
        <v>434</v>
      </c>
    </row>
  </sheetData>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5"/>
  <sheetViews>
    <sheetView zoomScaleNormal="100" workbookViewId="0"/>
  </sheetViews>
  <sheetFormatPr defaultColWidth="8.6640625" defaultRowHeight="14.4" x14ac:dyDescent="0.3"/>
  <cols>
    <col min="1" max="1" width="12" customWidth="1"/>
    <col min="2" max="2" width="22" customWidth="1"/>
    <col min="3" max="3" width="24" customWidth="1"/>
    <col min="4" max="4" width="22" customWidth="1"/>
    <col min="5" max="5" width="24" customWidth="1"/>
    <col min="6" max="6" width="18" customWidth="1"/>
  </cols>
  <sheetData>
    <row r="1" spans="1:6" ht="17.399999999999999" x14ac:dyDescent="0.3">
      <c r="A1" s="35" t="s">
        <v>435</v>
      </c>
    </row>
    <row r="3" spans="1:6" ht="31.5" customHeight="1" x14ac:dyDescent="0.3">
      <c r="A3" s="18" t="s">
        <v>407</v>
      </c>
      <c r="B3" s="18" t="s">
        <v>436</v>
      </c>
      <c r="C3" s="18" t="s">
        <v>437</v>
      </c>
      <c r="D3" s="18" t="s">
        <v>438</v>
      </c>
      <c r="E3" s="18" t="s">
        <v>439</v>
      </c>
      <c r="F3" s="18" t="s">
        <v>440</v>
      </c>
    </row>
    <row r="4" spans="1:6" x14ac:dyDescent="0.3">
      <c r="A4" s="54" t="s">
        <v>128</v>
      </c>
      <c r="B4" s="44">
        <f>Volumes!G5*Assumptions!$B$91</f>
        <v>1320</v>
      </c>
      <c r="C4" s="44">
        <f>Volumes!H5*Assumptions!$B$95</f>
        <v>4740</v>
      </c>
      <c r="D4" s="44">
        <f>Volumes!M5*Assumptions!$B$101</f>
        <v>9400</v>
      </c>
      <c r="E4" s="44">
        <f>Assumptions!B23*Assumptions!$B$102*12</f>
        <v>60000</v>
      </c>
      <c r="F4" s="60">
        <f>SUM(B4:E4)</f>
        <v>75460</v>
      </c>
    </row>
    <row r="5" spans="1:6" x14ac:dyDescent="0.3">
      <c r="A5" s="54" t="s">
        <v>129</v>
      </c>
      <c r="B5" s="44">
        <f>Volumes!G6*Assumptions!$B$91</f>
        <v>9600</v>
      </c>
      <c r="C5" s="44">
        <f>Volumes!H6*Assumptions!$B$95</f>
        <v>23700</v>
      </c>
      <c r="D5" s="44">
        <f>Volumes!M6*Assumptions!$B$101</f>
        <v>46800</v>
      </c>
      <c r="E5" s="44">
        <f>Assumptions!C23*Assumptions!$B$102*12</f>
        <v>180000</v>
      </c>
      <c r="F5" s="60">
        <f>SUM(B5:E5)</f>
        <v>260100</v>
      </c>
    </row>
    <row r="6" spans="1:6" x14ac:dyDescent="0.3">
      <c r="A6" s="54" t="s">
        <v>130</v>
      </c>
      <c r="B6" s="44">
        <f>Volumes!G7*Assumptions!$B$91</f>
        <v>28200</v>
      </c>
      <c r="C6" s="44">
        <f>Volumes!H7*Assumptions!$B$95</f>
        <v>47400</v>
      </c>
      <c r="D6" s="44">
        <f>Volumes!M7*Assumptions!$B$101</f>
        <v>93600</v>
      </c>
      <c r="E6" s="44">
        <f>Assumptions!D23*Assumptions!$B$102*12</f>
        <v>300000</v>
      </c>
      <c r="F6" s="60">
        <f>SUM(B6:E6)</f>
        <v>469200</v>
      </c>
    </row>
    <row r="7" spans="1:6" x14ac:dyDescent="0.3">
      <c r="A7" s="54" t="s">
        <v>131</v>
      </c>
      <c r="B7" s="44">
        <f>Volumes!G8*Assumptions!$B$91</f>
        <v>56400</v>
      </c>
      <c r="C7" s="44">
        <f>Volumes!H8*Assumptions!$B$95</f>
        <v>94800</v>
      </c>
      <c r="D7" s="44">
        <f>Volumes!M8*Assumptions!$B$101</f>
        <v>187200</v>
      </c>
      <c r="E7" s="44">
        <f>Assumptions!E23*Assumptions!$B$102*12</f>
        <v>420000</v>
      </c>
      <c r="F7" s="60">
        <f>SUM(B7:E7)</f>
        <v>758400</v>
      </c>
    </row>
    <row r="8" spans="1:6" x14ac:dyDescent="0.3">
      <c r="A8" s="54" t="s">
        <v>132</v>
      </c>
      <c r="B8" s="44">
        <f>Volumes!G9*Assumptions!$B$91</f>
        <v>104000</v>
      </c>
      <c r="C8" s="44">
        <f>Volumes!H9*Assumptions!$B$95</f>
        <v>158000</v>
      </c>
      <c r="D8" s="44">
        <f>Volumes!M9*Assumptions!$B$101</f>
        <v>312000</v>
      </c>
      <c r="E8" s="44">
        <f>Assumptions!F23*Assumptions!$B$102*12</f>
        <v>540000</v>
      </c>
      <c r="F8" s="60">
        <f>SUM(B8:E8)</f>
        <v>1114000</v>
      </c>
    </row>
    <row r="9" spans="1:6" x14ac:dyDescent="0.3">
      <c r="A9" s="59" t="s">
        <v>419</v>
      </c>
      <c r="B9" s="60">
        <f>SUM(B4:B8)</f>
        <v>199520</v>
      </c>
      <c r="C9" s="60">
        <f>SUM(C4:C8)</f>
        <v>328640</v>
      </c>
      <c r="D9" s="60">
        <f>SUM(D4:D8)</f>
        <v>649000</v>
      </c>
      <c r="E9" s="60">
        <f>SUM(E4:E8)</f>
        <v>1500000</v>
      </c>
      <c r="F9" s="60">
        <f>SUM(F4:F8)</f>
        <v>2677160</v>
      </c>
    </row>
    <row r="11" spans="1:6" x14ac:dyDescent="0.3">
      <c r="A11" s="64" t="s">
        <v>441</v>
      </c>
    </row>
    <row r="12" spans="1:6" x14ac:dyDescent="0.3">
      <c r="A12" s="64" t="s">
        <v>442</v>
      </c>
    </row>
    <row r="13" spans="1:6" x14ac:dyDescent="0.3">
      <c r="A13" s="64" t="s">
        <v>443</v>
      </c>
    </row>
    <row r="14" spans="1:6" x14ac:dyDescent="0.3">
      <c r="A14" s="64" t="s">
        <v>444</v>
      </c>
    </row>
    <row r="15" spans="1:6" x14ac:dyDescent="0.3">
      <c r="A15" s="64" t="s">
        <v>445</v>
      </c>
    </row>
  </sheetData>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6"/>
  <sheetViews>
    <sheetView zoomScaleNormal="100" workbookViewId="0"/>
  </sheetViews>
  <sheetFormatPr defaultColWidth="8.6640625" defaultRowHeight="14.4" x14ac:dyDescent="0.3"/>
  <cols>
    <col min="1" max="1" width="12" customWidth="1"/>
    <col min="2" max="3" width="16" customWidth="1"/>
    <col min="4" max="4" width="15" customWidth="1"/>
    <col min="5" max="5" width="18" customWidth="1"/>
    <col min="6" max="7" width="16" customWidth="1"/>
    <col min="8" max="9" width="15" customWidth="1"/>
    <col min="10" max="11" width="16" customWidth="1"/>
  </cols>
  <sheetData>
    <row r="1" spans="1:11" ht="17.399999999999999" x14ac:dyDescent="0.3">
      <c r="A1" s="35" t="s">
        <v>446</v>
      </c>
    </row>
    <row r="3" spans="1:11" ht="31.5" customHeight="1" x14ac:dyDescent="0.3">
      <c r="A3" s="18" t="s">
        <v>407</v>
      </c>
      <c r="B3" s="18" t="s">
        <v>447</v>
      </c>
      <c r="C3" s="18" t="s">
        <v>448</v>
      </c>
      <c r="D3" s="18" t="s">
        <v>449</v>
      </c>
      <c r="E3" s="18" t="s">
        <v>450</v>
      </c>
      <c r="F3" s="18" t="s">
        <v>451</v>
      </c>
      <c r="G3" s="18" t="s">
        <v>452</v>
      </c>
      <c r="H3" s="18" t="s">
        <v>453</v>
      </c>
      <c r="I3" s="18" t="s">
        <v>454</v>
      </c>
      <c r="J3" s="18" t="s">
        <v>455</v>
      </c>
      <c r="K3" s="18" t="s">
        <v>456</v>
      </c>
    </row>
    <row r="4" spans="1:11" x14ac:dyDescent="0.3">
      <c r="A4" s="54" t="s">
        <v>128</v>
      </c>
      <c r="B4" s="44">
        <f>(Volumes!E5+Volumes!H5*Assumptions!$B$73)*Assumptions!$B$72*Assumptions!$B$71/3600*Assumptions!$B$70</f>
        <v>34.750585000000001</v>
      </c>
      <c r="C4" s="44">
        <f>Volumes!B5*Assumptions!$B$74*Assumptions!$B$75*Assumptions!$B$70</f>
        <v>36.7515</v>
      </c>
      <c r="D4" s="44">
        <f>Assumptions!$B$78+Volumes!B5*Assumptions!$B$79</f>
        <v>4814.1719999999996</v>
      </c>
      <c r="E4" s="44">
        <f>Assumptions!B80*Assumptions!$B$81*12*(1+Assumptions!$B$82+Assumptions!$B$83+Assumptions!$B$84)</f>
        <v>83739.576000000015</v>
      </c>
      <c r="F4" s="44">
        <f>Volumes!C5*Assumptions!$B$85</f>
        <v>6000</v>
      </c>
      <c r="G4" s="65">
        <f>Assumptions!B86</f>
        <v>15000</v>
      </c>
      <c r="H4" s="65">
        <f>Assumptions!$B$88</f>
        <v>10000</v>
      </c>
      <c r="I4" s="65">
        <f>Assumptions!$B$87</f>
        <v>20000</v>
      </c>
      <c r="J4" s="44">
        <f>(Pricing_Income!B4+Pricing_Income!C4)*Assumptions!$B$96+IF(Assumptions!$B$94&gt;0,(Pricing_Income!B4+Pricing_Income!C4)/Assumptions!$B$94,0)*Assumptions!$B$97</f>
        <v>484.79999999999995</v>
      </c>
      <c r="K4" s="60">
        <f>SUM(B4:J4)</f>
        <v>140110.050085</v>
      </c>
    </row>
    <row r="5" spans="1:11" x14ac:dyDescent="0.3">
      <c r="A5" s="54" t="s">
        <v>129</v>
      </c>
      <c r="B5" s="44">
        <f>(Volumes!E6+Volumes!H6*Assumptions!$B$73)*Assumptions!$B$72*Assumptions!$B$71/3600*Assumptions!$B$70</f>
        <v>173.75292499999998</v>
      </c>
      <c r="C5" s="44">
        <f>Volumes!B6*Assumptions!$B$74*Assumptions!$B$75*Assumptions!$B$70</f>
        <v>183.75749999999999</v>
      </c>
      <c r="D5" s="44">
        <f>Assumptions!$B$78+Volumes!B6*Assumptions!$B$79</f>
        <v>7214.1719999999996</v>
      </c>
      <c r="E5" s="44">
        <f>Assumptions!C80*Assumptions!$B$81*12*(1+Assumptions!$B$82+Assumptions!$B$83+Assumptions!$B$84)</f>
        <v>125609.36400000002</v>
      </c>
      <c r="F5" s="44">
        <f>Volumes!C6*Assumptions!$B$85</f>
        <v>24000</v>
      </c>
      <c r="G5" s="65">
        <f>Assumptions!C86</f>
        <v>8000</v>
      </c>
      <c r="H5" s="65">
        <f>Assumptions!$B$88</f>
        <v>10000</v>
      </c>
      <c r="I5" s="44">
        <f>0</f>
        <v>0</v>
      </c>
      <c r="J5" s="44">
        <f>(Pricing_Income!B5+Pricing_Income!C5)*Assumptions!$B$96+IF(Assumptions!$B$94&gt;0,(Pricing_Income!B5+Pricing_Income!C5)/Assumptions!$B$94,0)*Assumptions!$B$97</f>
        <v>2664</v>
      </c>
      <c r="K5" s="60">
        <f>SUM(B5:J5)</f>
        <v>177845.04642500001</v>
      </c>
    </row>
    <row r="6" spans="1:11" x14ac:dyDescent="0.3">
      <c r="A6" s="54" t="s">
        <v>130</v>
      </c>
      <c r="B6" s="44">
        <f>(Volumes!E7+Volumes!H7*Assumptions!$B$73)*Assumptions!$B$72*Assumptions!$B$71/3600*Assumptions!$B$70</f>
        <v>347.50584999999995</v>
      </c>
      <c r="C6" s="44">
        <f>Volumes!B7*Assumptions!$B$74*Assumptions!$B$75*Assumptions!$B$70</f>
        <v>367.51499999999999</v>
      </c>
      <c r="D6" s="44">
        <f>Assumptions!$B$78+Volumes!B7*Assumptions!$B$79</f>
        <v>10214.171999999999</v>
      </c>
      <c r="E6" s="44">
        <f>Assumptions!D80*Assumptions!$B$81*12*(1+Assumptions!$B$82+Assumptions!$B$83+Assumptions!$B$84)</f>
        <v>209348.94000000003</v>
      </c>
      <c r="F6" s="44">
        <f>Volumes!C7*Assumptions!$B$85</f>
        <v>30000</v>
      </c>
      <c r="G6" s="65">
        <f>Assumptions!D86</f>
        <v>8000</v>
      </c>
      <c r="H6" s="65">
        <f>Assumptions!$B$88</f>
        <v>10000</v>
      </c>
      <c r="I6" s="44">
        <f>0</f>
        <v>0</v>
      </c>
      <c r="J6" s="44">
        <f>(Pricing_Income!B6+Pricing_Income!C6)*Assumptions!$B$96+IF(Assumptions!$B$94&gt;0,(Pricing_Income!B6+Pricing_Income!C6)/Assumptions!$B$94,0)*Assumptions!$B$97</f>
        <v>6048</v>
      </c>
      <c r="K6" s="60">
        <f>SUM(B6:J6)</f>
        <v>274326.13285000005</v>
      </c>
    </row>
    <row r="7" spans="1:11" x14ac:dyDescent="0.3">
      <c r="A7" s="54" t="s">
        <v>131</v>
      </c>
      <c r="B7" s="44">
        <f>(Volumes!E8+Volumes!H8*Assumptions!$B$73)*Assumptions!$B$72*Assumptions!$B$71/3600*Assumptions!$B$70</f>
        <v>695.01169999999991</v>
      </c>
      <c r="C7" s="44">
        <f>Volumes!B8*Assumptions!$B$74*Assumptions!$B$75*Assumptions!$B$70</f>
        <v>735.03</v>
      </c>
      <c r="D7" s="44">
        <f>Assumptions!$B$78+Volumes!B8*Assumptions!$B$79</f>
        <v>16214.171999999999</v>
      </c>
      <c r="E7" s="44">
        <f>Assumptions!E80*Assumptions!$B$81*12*(1+Assumptions!$B$82+Assumptions!$B$83+Assumptions!$B$84)</f>
        <v>334958.30400000006</v>
      </c>
      <c r="F7" s="44">
        <f>Volumes!C8*Assumptions!$B$85</f>
        <v>60000</v>
      </c>
      <c r="G7" s="65">
        <f>Assumptions!E86</f>
        <v>10000</v>
      </c>
      <c r="H7" s="65">
        <f>Assumptions!$B$88</f>
        <v>10000</v>
      </c>
      <c r="I7" s="44">
        <f>0</f>
        <v>0</v>
      </c>
      <c r="J7" s="44">
        <f>(Pricing_Income!B7+Pricing_Income!C7)*Assumptions!$B$96+IF(Assumptions!$B$94&gt;0,(Pricing_Income!B7+Pricing_Income!C7)/Assumptions!$B$94,0)*Assumptions!$B$97</f>
        <v>12096</v>
      </c>
      <c r="K7" s="60">
        <f>SUM(B7:J7)</f>
        <v>444698.51770000008</v>
      </c>
    </row>
    <row r="8" spans="1:11" x14ac:dyDescent="0.3">
      <c r="A8" s="54" t="s">
        <v>132</v>
      </c>
      <c r="B8" s="44">
        <f>(Volumes!E9+Volumes!H9*Assumptions!$B$73)*Assumptions!$B$72*Assumptions!$B$71/3600*Assumptions!$B$70</f>
        <v>1158.3528333333331</v>
      </c>
      <c r="C8" s="44">
        <f>Volumes!B9*Assumptions!$B$74*Assumptions!$B$75*Assumptions!$B$70</f>
        <v>1225.05</v>
      </c>
      <c r="D8" s="44">
        <f>Assumptions!$B$78+Volumes!B9*Assumptions!$B$79</f>
        <v>24214.171999999999</v>
      </c>
      <c r="E8" s="44">
        <f>Assumptions!F80*Assumptions!$B$81*12*(1+Assumptions!$B$82+Assumptions!$B$83+Assumptions!$B$84)</f>
        <v>418697.88000000006</v>
      </c>
      <c r="F8" s="44">
        <f>Volumes!C9*Assumptions!$B$85</f>
        <v>80000</v>
      </c>
      <c r="G8" s="65">
        <f>Assumptions!F86</f>
        <v>10000</v>
      </c>
      <c r="H8" s="65">
        <f>Assumptions!$B$88</f>
        <v>10000</v>
      </c>
      <c r="I8" s="44">
        <f>0</f>
        <v>0</v>
      </c>
      <c r="J8" s="44">
        <f>(Pricing_Income!B8+Pricing_Income!C8)*Assumptions!$B$96+IF(Assumptions!$B$94&gt;0,(Pricing_Income!B8+Pricing_Income!C8)/Assumptions!$B$94,0)*Assumptions!$B$97</f>
        <v>20960</v>
      </c>
      <c r="K8" s="60">
        <f>SUM(B8:J8)</f>
        <v>566255.45483333338</v>
      </c>
    </row>
    <row r="9" spans="1:11" x14ac:dyDescent="0.3">
      <c r="A9" s="59" t="s">
        <v>419</v>
      </c>
      <c r="B9" s="60">
        <f t="shared" ref="B9:K9" si="0">SUM(B4:B8)</f>
        <v>2409.3738933333329</v>
      </c>
      <c r="C9" s="60">
        <f t="shared" si="0"/>
        <v>2548.1040000000003</v>
      </c>
      <c r="D9" s="60">
        <f t="shared" si="0"/>
        <v>62670.859999999993</v>
      </c>
      <c r="E9" s="60">
        <f t="shared" si="0"/>
        <v>1172354.0640000002</v>
      </c>
      <c r="F9" s="60">
        <f t="shared" si="0"/>
        <v>200000</v>
      </c>
      <c r="G9" s="60">
        <f t="shared" si="0"/>
        <v>51000</v>
      </c>
      <c r="H9" s="60">
        <f t="shared" si="0"/>
        <v>50000</v>
      </c>
      <c r="I9" s="60">
        <f t="shared" si="0"/>
        <v>20000</v>
      </c>
      <c r="J9" s="60">
        <f t="shared" si="0"/>
        <v>42252.800000000003</v>
      </c>
      <c r="K9" s="60">
        <f t="shared" si="0"/>
        <v>1603235.2018933333</v>
      </c>
    </row>
    <row r="11" spans="1:11" x14ac:dyDescent="0.3">
      <c r="A11" s="64" t="s">
        <v>457</v>
      </c>
    </row>
    <row r="12" spans="1:11" x14ac:dyDescent="0.3">
      <c r="A12" s="64" t="s">
        <v>458</v>
      </c>
    </row>
    <row r="13" spans="1:11" x14ac:dyDescent="0.3">
      <c r="A13" s="64" t="s">
        <v>459</v>
      </c>
    </row>
    <row r="14" spans="1:11" x14ac:dyDescent="0.3">
      <c r="A14" s="64" t="s">
        <v>460</v>
      </c>
    </row>
    <row r="15" spans="1:11" x14ac:dyDescent="0.3">
      <c r="A15" s="64" t="s">
        <v>461</v>
      </c>
    </row>
    <row r="16" spans="1:11" x14ac:dyDescent="0.3">
      <c r="A16" s="64" t="s">
        <v>462</v>
      </c>
    </row>
  </sheetData>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I38"/>
  <sheetViews>
    <sheetView zoomScaleNormal="100" workbookViewId="0">
      <selection activeCell="C17" sqref="C17"/>
    </sheetView>
  </sheetViews>
  <sheetFormatPr defaultColWidth="8.6640625" defaultRowHeight="14.4" x14ac:dyDescent="0.3"/>
  <cols>
    <col min="1" max="1" width="53.77734375" customWidth="1"/>
    <col min="2" max="4" width="20" customWidth="1"/>
    <col min="5" max="5" width="26" customWidth="1"/>
    <col min="6" max="6" width="24" customWidth="1"/>
    <col min="7" max="7" width="20" customWidth="1"/>
    <col min="8" max="8" width="22" customWidth="1"/>
    <col min="9" max="9" width="12" customWidth="1"/>
  </cols>
  <sheetData>
    <row r="2" spans="1:9" ht="17.399999999999999" x14ac:dyDescent="0.3">
      <c r="A2" s="35" t="s">
        <v>463</v>
      </c>
    </row>
    <row r="4" spans="1:9" ht="31.5" customHeight="1" x14ac:dyDescent="0.3">
      <c r="A4" s="18" t="s">
        <v>407</v>
      </c>
      <c r="B4" s="18" t="s">
        <v>428</v>
      </c>
      <c r="C4" s="18" t="s">
        <v>440</v>
      </c>
      <c r="D4" s="18" t="s">
        <v>456</v>
      </c>
      <c r="E4" s="18" t="s">
        <v>464</v>
      </c>
      <c r="F4" s="18" t="s">
        <v>465</v>
      </c>
      <c r="G4" s="18" t="s">
        <v>466</v>
      </c>
      <c r="H4" s="88" t="s">
        <v>467</v>
      </c>
      <c r="I4" s="88" t="s">
        <v>468</v>
      </c>
    </row>
    <row r="5" spans="1:9" x14ac:dyDescent="0.3">
      <c r="A5" s="54" t="s">
        <v>128</v>
      </c>
      <c r="B5" s="65">
        <f>Benefits!F4</f>
        <v>15811.511098264615</v>
      </c>
      <c r="C5" s="65">
        <f>Pricing_Income!F4</f>
        <v>75460</v>
      </c>
      <c r="D5" s="65">
        <f>Spendings!K4</f>
        <v>140110.050085</v>
      </c>
      <c r="E5" s="90">
        <f>C5-D5</f>
        <v>-64650.050084999995</v>
      </c>
      <c r="F5" s="90">
        <f>E5</f>
        <v>-64650.050084999995</v>
      </c>
      <c r="G5" s="65">
        <f>Pricing_Income!B4+Pricing_Income!C4</f>
        <v>6060</v>
      </c>
      <c r="H5" s="44">
        <f>B5-G5</f>
        <v>9751.5110982646147</v>
      </c>
      <c r="I5" s="66">
        <f t="shared" ref="I5:I10" si="0">IF(G5&gt;0,(B5-G5)/G5,0)</f>
        <v>1.6091602472383852</v>
      </c>
    </row>
    <row r="6" spans="1:9" x14ac:dyDescent="0.3">
      <c r="A6" s="54" t="s">
        <v>129</v>
      </c>
      <c r="B6" s="65">
        <f>Benefits!F5</f>
        <v>88093.749267443069</v>
      </c>
      <c r="C6" s="65">
        <f>Pricing_Income!F5</f>
        <v>260100</v>
      </c>
      <c r="D6" s="65">
        <f>Spendings!K5</f>
        <v>177845.04642500001</v>
      </c>
      <c r="E6" s="44">
        <f>C6-D6</f>
        <v>82254.953574999992</v>
      </c>
      <c r="F6" s="44">
        <f>F5+E6</f>
        <v>17604.903489999997</v>
      </c>
      <c r="G6" s="65">
        <f>Pricing_Income!B5+Pricing_Income!C5</f>
        <v>33300</v>
      </c>
      <c r="H6" s="44">
        <f>B6-G6</f>
        <v>54793.749267443069</v>
      </c>
      <c r="I6" s="66">
        <f t="shared" si="0"/>
        <v>1.6454579359592514</v>
      </c>
    </row>
    <row r="7" spans="1:9" x14ac:dyDescent="0.3">
      <c r="A7" s="54" t="s">
        <v>130</v>
      </c>
      <c r="B7" s="65">
        <f>Benefits!F6</f>
        <v>210737.65120828614</v>
      </c>
      <c r="C7" s="65">
        <f>Pricing_Income!F6</f>
        <v>469200</v>
      </c>
      <c r="D7" s="65">
        <f>Spendings!K6</f>
        <v>274326.13285000005</v>
      </c>
      <c r="E7" s="44">
        <f>C7-D7</f>
        <v>194873.86714999995</v>
      </c>
      <c r="F7" s="44">
        <f>F6+E7</f>
        <v>212478.77063999994</v>
      </c>
      <c r="G7" s="65">
        <f>Pricing_Income!B6+Pricing_Income!C6</f>
        <v>75600</v>
      </c>
      <c r="H7" s="44">
        <f>B7-G7</f>
        <v>135137.65120828614</v>
      </c>
      <c r="I7" s="66">
        <f t="shared" si="0"/>
        <v>1.7875350688926739</v>
      </c>
    </row>
    <row r="8" spans="1:9" x14ac:dyDescent="0.3">
      <c r="A8" s="54" t="s">
        <v>131</v>
      </c>
      <c r="B8" s="65">
        <f>Benefits!F7</f>
        <v>455493.91427961225</v>
      </c>
      <c r="C8" s="65">
        <f>Pricing_Income!F7</f>
        <v>758400</v>
      </c>
      <c r="D8" s="65">
        <f>Spendings!K7</f>
        <v>444698.51770000008</v>
      </c>
      <c r="E8" s="44">
        <f>C8-D8</f>
        <v>313701.48229999992</v>
      </c>
      <c r="F8" s="44">
        <f>F7+E8</f>
        <v>526180.2529399998</v>
      </c>
      <c r="G8" s="65">
        <f>Pricing_Income!B7+Pricing_Income!C7</f>
        <v>151200</v>
      </c>
      <c r="H8" s="44">
        <f>B8-G8</f>
        <v>304293.91427961225</v>
      </c>
      <c r="I8" s="66">
        <f t="shared" si="0"/>
        <v>2.0125258880926737</v>
      </c>
    </row>
    <row r="9" spans="1:9" x14ac:dyDescent="0.3">
      <c r="A9" s="54" t="s">
        <v>132</v>
      </c>
      <c r="B9" s="65">
        <f>Benefits!F8</f>
        <v>839242.00589359377</v>
      </c>
      <c r="C9" s="65">
        <f>Pricing_Income!F8</f>
        <v>1114000</v>
      </c>
      <c r="D9" s="65">
        <f>Spendings!K8</f>
        <v>566255.45483333338</v>
      </c>
      <c r="E9" s="44">
        <f>C9-D9</f>
        <v>547744.54516666662</v>
      </c>
      <c r="F9" s="44">
        <f>F8+E9</f>
        <v>1073924.7981066664</v>
      </c>
      <c r="G9" s="65">
        <f>Pricing_Income!B8+Pricing_Income!C8</f>
        <v>262000</v>
      </c>
      <c r="H9" s="44">
        <f>B9-G9</f>
        <v>577242.00589359377</v>
      </c>
      <c r="I9" s="66">
        <f t="shared" si="0"/>
        <v>2.203213762952648</v>
      </c>
    </row>
    <row r="10" spans="1:9" x14ac:dyDescent="0.3">
      <c r="A10" s="59" t="s">
        <v>419</v>
      </c>
      <c r="B10" s="60">
        <f>SUM(B5:B9)</f>
        <v>1609378.8317471999</v>
      </c>
      <c r="C10" s="60">
        <f>SUM(C5:C9)</f>
        <v>2677160</v>
      </c>
      <c r="D10" s="60">
        <f>SUM(D5:D9)</f>
        <v>1603235.2018933333</v>
      </c>
      <c r="E10" s="60">
        <f>SUM(E5:E9)</f>
        <v>1073924.7981066664</v>
      </c>
      <c r="G10" s="60">
        <f>SUM(G5:G9)</f>
        <v>528160</v>
      </c>
      <c r="H10" s="60">
        <f>SUM(H5:H9)</f>
        <v>1081218.8317471999</v>
      </c>
      <c r="I10" s="63">
        <f t="shared" si="0"/>
        <v>2.0471425926749469</v>
      </c>
    </row>
    <row r="13" spans="1:9" x14ac:dyDescent="0.3">
      <c r="A13" s="67" t="s">
        <v>469</v>
      </c>
    </row>
    <row r="14" spans="1:9" x14ac:dyDescent="0.3">
      <c r="A14" s="54" t="s">
        <v>470</v>
      </c>
      <c r="B14" s="60">
        <f>B10</f>
        <v>1609378.8317471999</v>
      </c>
      <c r="C14" s="64" t="s">
        <v>471</v>
      </c>
    </row>
    <row r="15" spans="1:9" x14ac:dyDescent="0.3">
      <c r="A15" s="54" t="s">
        <v>472</v>
      </c>
      <c r="B15" s="60">
        <f>C10</f>
        <v>2677160</v>
      </c>
      <c r="C15" s="64" t="s">
        <v>473</v>
      </c>
    </row>
    <row r="16" spans="1:9" x14ac:dyDescent="0.3">
      <c r="A16" s="54" t="s">
        <v>474</v>
      </c>
      <c r="B16" s="60">
        <f>D10</f>
        <v>1603235.2018933333</v>
      </c>
      <c r="C16" s="64" t="s">
        <v>475</v>
      </c>
    </row>
    <row r="17" spans="1:4" x14ac:dyDescent="0.3">
      <c r="A17" s="54" t="s">
        <v>476</v>
      </c>
      <c r="B17" s="60">
        <f>C10-D10</f>
        <v>1073924.7981066667</v>
      </c>
    </row>
    <row r="19" spans="1:4" x14ac:dyDescent="0.3">
      <c r="A19" s="54" t="s">
        <v>477</v>
      </c>
      <c r="B19" s="89">
        <f>IF(D10&gt;0,(C10-D10)/D10,0)</f>
        <v>0.66984856422714523</v>
      </c>
      <c r="C19" s="64" t="s">
        <v>478</v>
      </c>
    </row>
    <row r="20" spans="1:4" x14ac:dyDescent="0.3">
      <c r="A20" s="54" t="s">
        <v>479</v>
      </c>
      <c r="B20" s="89">
        <f>IF(G10&gt;0,(B10-G10)/G10,0)</f>
        <v>2.0471425926749469</v>
      </c>
      <c r="C20" s="64" t="s">
        <v>480</v>
      </c>
    </row>
    <row r="21" spans="1:4" x14ac:dyDescent="0.3">
      <c r="A21" s="54" t="s">
        <v>481</v>
      </c>
      <c r="B21" s="63">
        <f>IF(C9&gt;0,E9/C9,0)</f>
        <v>0.49169169225014958</v>
      </c>
      <c r="C21" s="64" t="s">
        <v>482</v>
      </c>
    </row>
    <row r="22" spans="1:4" x14ac:dyDescent="0.3">
      <c r="A22" s="54" t="s">
        <v>483</v>
      </c>
      <c r="B22" s="68" t="str">
        <f>IFERROR(INDEX(A5:A9,MATCH(TRUE(),INDEX(F5:F9&gt;=0,0),0)),"Beyond Y5")</f>
        <v>Y2</v>
      </c>
      <c r="C22" s="64" t="s">
        <v>484</v>
      </c>
    </row>
    <row r="23" spans="1:4" x14ac:dyDescent="0.3">
      <c r="A23" s="54" t="s">
        <v>485</v>
      </c>
      <c r="B23" s="68" t="str">
        <f>IFERROR(INDEX(A5:A9,MATCH(TRUE(),INDEX(E5:E9&gt;0,0),0)),"Beyond Y5")</f>
        <v>Y2</v>
      </c>
      <c r="C23" s="64" t="s">
        <v>486</v>
      </c>
    </row>
    <row r="24" spans="1:4" x14ac:dyDescent="0.3">
      <c r="A24" s="54" t="s">
        <v>487</v>
      </c>
      <c r="B24" s="68" t="str">
        <f>IFERROR(INDEX(A5:A9,MATCH(TRUE(),INDEX(H5:H9&gt;0,0),0)),"Beyond Y5")</f>
        <v>Y1</v>
      </c>
      <c r="C24" s="64" t="s">
        <v>488</v>
      </c>
    </row>
    <row r="25" spans="1:4" x14ac:dyDescent="0.3">
      <c r="A25" s="67" t="s">
        <v>489</v>
      </c>
    </row>
    <row r="26" spans="1:4" x14ac:dyDescent="0.3">
      <c r="A26" s="54" t="s">
        <v>490</v>
      </c>
      <c r="B26" s="69">
        <f>IF(Volumes!H10&gt;0,MAX(0,(D10-Pricing_Income!B9-Pricing_Income!D9-Pricing_Income!E9)/Volumes!H10),0)</f>
        <v>0</v>
      </c>
      <c r="C26" s="64" t="s">
        <v>491</v>
      </c>
    </row>
    <row r="27" spans="1:4" x14ac:dyDescent="0.3">
      <c r="A27" s="54" t="s">
        <v>492</v>
      </c>
      <c r="B27" s="69">
        <f>IF(Volumes!H10&gt;0,MAX(0,(D10-Pricing_Income!B9)/Volumes!H10),0)</f>
        <v>337.43153891666668</v>
      </c>
      <c r="C27" s="64" t="s">
        <v>493</v>
      </c>
    </row>
    <row r="28" spans="1:4" x14ac:dyDescent="0.3">
      <c r="A28" s="54" t="s">
        <v>494</v>
      </c>
      <c r="B28" s="69">
        <f>Assumptions!$B$95</f>
        <v>79</v>
      </c>
    </row>
    <row r="29" spans="1:4" x14ac:dyDescent="0.3">
      <c r="A29" s="67" t="s">
        <v>495</v>
      </c>
    </row>
    <row r="30" spans="1:4" ht="31.5" customHeight="1" x14ac:dyDescent="0.3">
      <c r="A30" s="18" t="s">
        <v>407</v>
      </c>
      <c r="B30" s="18" t="s">
        <v>496</v>
      </c>
      <c r="C30" s="18" t="s">
        <v>497</v>
      </c>
      <c r="D30" s="18" t="s">
        <v>498</v>
      </c>
    </row>
    <row r="31" spans="1:4" x14ac:dyDescent="0.3">
      <c r="A31" s="54" t="s">
        <v>128</v>
      </c>
      <c r="B31" s="44">
        <f>E5</f>
        <v>-64650.050084999995</v>
      </c>
      <c r="C31" s="50">
        <f>1/(1+Assumptions!$B$107)^1</f>
        <v>0.76923076923076916</v>
      </c>
      <c r="D31" s="44">
        <f>B31*C31</f>
        <v>-49730.807757692302</v>
      </c>
    </row>
    <row r="32" spans="1:4" x14ac:dyDescent="0.3">
      <c r="A32" s="54" t="s">
        <v>129</v>
      </c>
      <c r="B32" s="44">
        <f>E6</f>
        <v>82254.953574999992</v>
      </c>
      <c r="C32" s="50">
        <f>1/(1+Assumptions!$B$107)^2</f>
        <v>0.59171597633136086</v>
      </c>
      <c r="D32" s="44">
        <f>B32*C32</f>
        <v>48671.57016272188</v>
      </c>
    </row>
    <row r="33" spans="1:4" x14ac:dyDescent="0.3">
      <c r="A33" s="54" t="s">
        <v>130</v>
      </c>
      <c r="B33" s="44">
        <f>E7</f>
        <v>194873.86714999995</v>
      </c>
      <c r="C33" s="50">
        <f>1/(1+Assumptions!$B$107)^3</f>
        <v>0.45516613563950831</v>
      </c>
      <c r="D33" s="44">
        <f>B33*C33</f>
        <v>88699.985047792405</v>
      </c>
    </row>
    <row r="34" spans="1:4" x14ac:dyDescent="0.3">
      <c r="A34" s="54" t="s">
        <v>131</v>
      </c>
      <c r="B34" s="44">
        <f>E8</f>
        <v>313701.48229999992</v>
      </c>
      <c r="C34" s="50">
        <f>1/(1+Assumptions!$B$107)^4</f>
        <v>0.35012779664577565</v>
      </c>
      <c r="D34" s="44">
        <f>B34*C34</f>
        <v>109835.60880221277</v>
      </c>
    </row>
    <row r="35" spans="1:4" x14ac:dyDescent="0.3">
      <c r="A35" s="54" t="s">
        <v>132</v>
      </c>
      <c r="B35" s="44">
        <f>E9</f>
        <v>547744.54516666662</v>
      </c>
      <c r="C35" s="50">
        <f>1/(1+Assumptions!$B$107)^5</f>
        <v>0.26932907434290432</v>
      </c>
      <c r="D35" s="44">
        <f>B35*C35</f>
        <v>147523.53132611347</v>
      </c>
    </row>
    <row r="36" spans="1:4" x14ac:dyDescent="0.3">
      <c r="A36" s="59" t="s">
        <v>499</v>
      </c>
      <c r="D36" s="60">
        <f>SUM(D31:D35)</f>
        <v>344999.88758114818</v>
      </c>
    </row>
    <row r="38" spans="1:4" x14ac:dyDescent="0.3">
      <c r="A38" s="64" t="s">
        <v>500</v>
      </c>
    </row>
  </sheetData>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2"/>
  <sheetViews>
    <sheetView showGridLines="0" zoomScaleNormal="100" workbookViewId="0"/>
  </sheetViews>
  <sheetFormatPr defaultColWidth="8.6640625" defaultRowHeight="14.4" x14ac:dyDescent="0.3"/>
  <sheetData>
    <row r="1" spans="1:1" ht="17.399999999999999" x14ac:dyDescent="0.3">
      <c r="A1" s="35" t="s">
        <v>501</v>
      </c>
    </row>
    <row r="2" spans="1:1" x14ac:dyDescent="0.3">
      <c r="A2" s="36" t="s">
        <v>502</v>
      </c>
    </row>
  </sheetData>
  <pageMargins left="0.75" right="0.75" top="1" bottom="1" header="0.511811023622047" footer="0.511811023622047"/>
  <pageSetup fitToHeight="0" orientation="landscape"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D35"/>
  <sheetViews>
    <sheetView zoomScaleNormal="100" workbookViewId="0">
      <selection activeCell="B8" sqref="B8"/>
    </sheetView>
  </sheetViews>
  <sheetFormatPr defaultColWidth="8.6640625" defaultRowHeight="14.4" x14ac:dyDescent="0.3"/>
  <cols>
    <col min="1" max="1" width="42.6640625" style="77" customWidth="1"/>
    <col min="2" max="2" width="60" style="77" customWidth="1"/>
    <col min="3" max="4" width="22" style="77" customWidth="1"/>
  </cols>
  <sheetData>
    <row r="1" spans="1:4" ht="17.399999999999999" x14ac:dyDescent="0.3">
      <c r="A1" s="71" t="s">
        <v>503</v>
      </c>
    </row>
    <row r="2" spans="1:4" x14ac:dyDescent="0.3">
      <c r="A2" s="72" t="s">
        <v>504</v>
      </c>
    </row>
    <row r="4" spans="1:4" ht="31.5" customHeight="1" x14ac:dyDescent="0.3">
      <c r="A4" s="73" t="s">
        <v>505</v>
      </c>
      <c r="B4" s="73" t="s">
        <v>506</v>
      </c>
      <c r="C4" s="73" t="s">
        <v>507</v>
      </c>
      <c r="D4" s="73" t="s">
        <v>508</v>
      </c>
    </row>
    <row r="5" spans="1:4" ht="42" customHeight="1" x14ac:dyDescent="0.3">
      <c r="A5" s="74" t="s">
        <v>509</v>
      </c>
      <c r="B5" s="24" t="s">
        <v>510</v>
      </c>
      <c r="C5" s="79">
        <f>Assumptions!$B$11</f>
        <v>195769</v>
      </c>
      <c r="D5" s="78" t="s">
        <v>511</v>
      </c>
    </row>
    <row r="6" spans="1:4" ht="42" customHeight="1" x14ac:dyDescent="0.3">
      <c r="A6" s="74" t="s">
        <v>512</v>
      </c>
      <c r="B6" s="24" t="s">
        <v>513</v>
      </c>
      <c r="C6" s="83">
        <f>ROI!B20</f>
        <v>2.0471425926749469</v>
      </c>
      <c r="D6" s="78" t="s">
        <v>514</v>
      </c>
    </row>
    <row r="7" spans="1:4" ht="42" customHeight="1" x14ac:dyDescent="0.3">
      <c r="A7" s="74" t="s">
        <v>515</v>
      </c>
      <c r="B7" s="24" t="s">
        <v>516</v>
      </c>
      <c r="C7" s="79">
        <f>Assumptions!$B$102*12</f>
        <v>30000</v>
      </c>
      <c r="D7" s="78" t="s">
        <v>517</v>
      </c>
    </row>
    <row r="8" spans="1:4" ht="42" customHeight="1" x14ac:dyDescent="0.3">
      <c r="A8" s="74" t="s">
        <v>518</v>
      </c>
      <c r="B8" s="24" t="s">
        <v>519</v>
      </c>
      <c r="C8" s="79">
        <f>Assumptions!$B$101</f>
        <v>200</v>
      </c>
      <c r="D8" s="78" t="s">
        <v>520</v>
      </c>
    </row>
    <row r="9" spans="1:4" ht="42" customHeight="1" x14ac:dyDescent="0.3">
      <c r="A9" s="74" t="s">
        <v>521</v>
      </c>
      <c r="B9" s="24" t="s">
        <v>522</v>
      </c>
      <c r="C9" s="79">
        <f>Pricing_Income!F9</f>
        <v>2677160</v>
      </c>
      <c r="D9" s="78" t="s">
        <v>523</v>
      </c>
    </row>
    <row r="10" spans="1:4" ht="42" customHeight="1" x14ac:dyDescent="0.3">
      <c r="A10" s="74" t="s">
        <v>524</v>
      </c>
      <c r="B10" s="24" t="s">
        <v>525</v>
      </c>
      <c r="C10" s="79">
        <f>Assumptions!$B$85</f>
        <v>20</v>
      </c>
      <c r="D10" s="78" t="s">
        <v>526</v>
      </c>
    </row>
    <row r="11" spans="1:4" ht="42" customHeight="1" x14ac:dyDescent="0.3">
      <c r="A11" s="74" t="s">
        <v>527</v>
      </c>
      <c r="B11" s="24" t="s">
        <v>528</v>
      </c>
      <c r="C11" s="83">
        <f>Assumptions!$B$19</f>
        <v>0.2</v>
      </c>
      <c r="D11" s="78" t="s">
        <v>529</v>
      </c>
    </row>
    <row r="12" spans="1:4" ht="42" customHeight="1" x14ac:dyDescent="0.3">
      <c r="A12" s="74" t="s">
        <v>530</v>
      </c>
      <c r="B12" s="24" t="s">
        <v>531</v>
      </c>
      <c r="C12" s="79">
        <f>Pricing_Income!F9</f>
        <v>2677160</v>
      </c>
      <c r="D12" s="78" t="s">
        <v>100</v>
      </c>
    </row>
    <row r="13" spans="1:4" ht="42" customHeight="1" x14ac:dyDescent="0.3">
      <c r="A13" s="74" t="s">
        <v>532</v>
      </c>
      <c r="B13" s="24" t="s">
        <v>533</v>
      </c>
      <c r="C13" s="79">
        <f>Volumes!E10</f>
        <v>149760</v>
      </c>
      <c r="D13" s="78" t="s">
        <v>534</v>
      </c>
    </row>
    <row r="14" spans="1:4" ht="42" customHeight="1" x14ac:dyDescent="0.3">
      <c r="A14" s="74" t="s">
        <v>535</v>
      </c>
      <c r="B14" s="24" t="s">
        <v>536</v>
      </c>
      <c r="C14" s="79">
        <f>Volumes!H10</f>
        <v>4160</v>
      </c>
      <c r="D14" s="78" t="s">
        <v>537</v>
      </c>
    </row>
    <row r="15" spans="1:4" ht="42" customHeight="1" x14ac:dyDescent="0.3">
      <c r="A15" s="74" t="s">
        <v>538</v>
      </c>
      <c r="B15" s="24" t="s">
        <v>539</v>
      </c>
      <c r="C15" s="79">
        <f>Assumptions!F23</f>
        <v>18</v>
      </c>
      <c r="D15" s="78" t="s">
        <v>540</v>
      </c>
    </row>
    <row r="16" spans="1:4" ht="42" customHeight="1" x14ac:dyDescent="0.3">
      <c r="A16" s="74" t="s">
        <v>541</v>
      </c>
      <c r="B16" s="24" t="s">
        <v>542</v>
      </c>
      <c r="C16" s="79">
        <f>Spendings!K9</f>
        <v>1603235.2018933333</v>
      </c>
      <c r="D16" s="78" t="s">
        <v>543</v>
      </c>
    </row>
    <row r="19" spans="1:4" x14ac:dyDescent="0.3">
      <c r="A19" s="75" t="s">
        <v>544</v>
      </c>
    </row>
    <row r="20" spans="1:4" ht="31.5" customHeight="1" x14ac:dyDescent="0.3">
      <c r="A20" s="73" t="s">
        <v>99</v>
      </c>
      <c r="B20" s="73" t="s">
        <v>545</v>
      </c>
      <c r="C20" s="73" t="s">
        <v>100</v>
      </c>
      <c r="D20" s="73" t="s">
        <v>546</v>
      </c>
    </row>
    <row r="21" spans="1:4" x14ac:dyDescent="0.3">
      <c r="A21" s="76" t="s">
        <v>547</v>
      </c>
      <c r="B21" s="85" t="s">
        <v>548</v>
      </c>
      <c r="C21" s="79">
        <f>Pricing_Income!B9</f>
        <v>199520</v>
      </c>
      <c r="D21" s="81">
        <f>IF(Pricing_Income!$F$9&gt;0,C21/Pricing_Income!$F$9,0)</f>
        <v>7.4526737288768699E-2</v>
      </c>
    </row>
    <row r="22" spans="1:4" x14ac:dyDescent="0.3">
      <c r="A22" s="76" t="s">
        <v>549</v>
      </c>
      <c r="B22" s="85" t="s">
        <v>550</v>
      </c>
      <c r="C22" s="79">
        <f>Pricing_Income!C9</f>
        <v>328640</v>
      </c>
      <c r="D22" s="81">
        <f>IF(Pricing_Income!$F$9&gt;0,C22/Pricing_Income!$F$9,0)</f>
        <v>0.12275695139625574</v>
      </c>
    </row>
    <row r="23" spans="1:4" x14ac:dyDescent="0.3">
      <c r="A23" s="76" t="s">
        <v>551</v>
      </c>
      <c r="B23" s="85" t="s">
        <v>552</v>
      </c>
      <c r="C23" s="79">
        <f>Pricing_Income!D9</f>
        <v>649000</v>
      </c>
      <c r="D23" s="81">
        <f>IF(Pricing_Income!$F$9&gt;0,C23/Pricing_Income!$F$9,0)</f>
        <v>0.24242107307744026</v>
      </c>
    </row>
    <row r="24" spans="1:4" x14ac:dyDescent="0.3">
      <c r="A24" s="76" t="s">
        <v>553</v>
      </c>
      <c r="B24" s="85" t="s">
        <v>554</v>
      </c>
      <c r="C24" s="79">
        <f>Pricing_Income!E9</f>
        <v>1500000</v>
      </c>
      <c r="D24" s="81">
        <f>IF(Pricing_Income!$F$9&gt;0,C24/Pricing_Income!$F$9,0)</f>
        <v>0.56029523823753535</v>
      </c>
    </row>
    <row r="25" spans="1:4" x14ac:dyDescent="0.3">
      <c r="A25" s="76" t="s">
        <v>106</v>
      </c>
      <c r="B25" s="85"/>
      <c r="C25" s="80">
        <f>SUM(C21:C24)</f>
        <v>2677160</v>
      </c>
      <c r="D25" s="86">
        <f>SUM(D21:D24)</f>
        <v>1</v>
      </c>
    </row>
    <row r="27" spans="1:4" x14ac:dyDescent="0.3">
      <c r="A27" s="75" t="s">
        <v>555</v>
      </c>
    </row>
    <row r="28" spans="1:4" ht="31.5" customHeight="1" x14ac:dyDescent="0.3">
      <c r="A28" s="73" t="s">
        <v>556</v>
      </c>
      <c r="B28" s="73" t="s">
        <v>557</v>
      </c>
      <c r="C28" s="73" t="s">
        <v>558</v>
      </c>
      <c r="D28" s="73" t="s">
        <v>133</v>
      </c>
    </row>
    <row r="29" spans="1:4" x14ac:dyDescent="0.3">
      <c r="A29" s="76" t="s">
        <v>559</v>
      </c>
      <c r="B29" s="24" t="s">
        <v>560</v>
      </c>
      <c r="C29" s="82">
        <f>(Pricing_Income!B8+Pricing_Income!C8+Pricing_Income!D8)/Volumes!B9</f>
        <v>57.4</v>
      </c>
      <c r="D29" s="85" t="s">
        <v>317</v>
      </c>
    </row>
    <row r="30" spans="1:4" x14ac:dyDescent="0.3">
      <c r="A30" s="76" t="s">
        <v>561</v>
      </c>
      <c r="B30" s="24" t="s">
        <v>562</v>
      </c>
      <c r="C30" s="82">
        <f>Assumptions!$B$85</f>
        <v>20</v>
      </c>
      <c r="D30" s="85" t="s">
        <v>331</v>
      </c>
    </row>
    <row r="31" spans="1:4" x14ac:dyDescent="0.3">
      <c r="A31" s="76" t="s">
        <v>563</v>
      </c>
      <c r="B31" s="24" t="s">
        <v>564</v>
      </c>
      <c r="C31" s="87">
        <f>IF(C29&gt;0,Assumptions!$B$85/(C29/12),0)</f>
        <v>4.1811846689895473</v>
      </c>
      <c r="D31" s="85" t="s">
        <v>565</v>
      </c>
    </row>
    <row r="32" spans="1:4" x14ac:dyDescent="0.3">
      <c r="A32" s="76" t="s">
        <v>566</v>
      </c>
      <c r="B32" s="24" t="s">
        <v>567</v>
      </c>
      <c r="C32" s="81">
        <f>ROI!I9</f>
        <v>2.203213762952648</v>
      </c>
      <c r="D32" s="85" t="s">
        <v>148</v>
      </c>
    </row>
    <row r="33" spans="1:4" x14ac:dyDescent="0.3">
      <c r="A33" s="76" t="s">
        <v>568</v>
      </c>
      <c r="B33" s="24" t="s">
        <v>569</v>
      </c>
      <c r="C33" s="82">
        <f>(Spendings!B8+Spendings!C8+Spendings!D8)/Volumes!B9</f>
        <v>2.6597574833333333</v>
      </c>
      <c r="D33" s="85" t="s">
        <v>317</v>
      </c>
    </row>
    <row r="34" spans="1:4" x14ac:dyDescent="0.3">
      <c r="A34" s="76" t="s">
        <v>570</v>
      </c>
      <c r="B34" s="24" t="s">
        <v>571</v>
      </c>
      <c r="C34" s="82">
        <f>Assumptions!$B$91-Assumptions!$B$72*Assumptions!$B$71/3600*Assumptions!$B$70</f>
        <v>1.9843465833333334</v>
      </c>
      <c r="D34" s="85" t="s">
        <v>345</v>
      </c>
    </row>
    <row r="35" spans="1:4" x14ac:dyDescent="0.3">
      <c r="A35" s="76" t="s">
        <v>572</v>
      </c>
      <c r="B35" s="24" t="s">
        <v>573</v>
      </c>
      <c r="C35" s="87">
        <f>Assumptions!$B$102*12/(1450*Assumptions!$B$70)</f>
        <v>5.0666475259982349</v>
      </c>
      <c r="D35" s="85" t="s">
        <v>574</v>
      </c>
    </row>
  </sheetData>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36"/>
  <sheetViews>
    <sheetView zoomScaleNormal="100" workbookViewId="0">
      <selection activeCell="B35" sqref="B35"/>
    </sheetView>
  </sheetViews>
  <sheetFormatPr defaultColWidth="8.6640625" defaultRowHeight="14.4" x14ac:dyDescent="0.3"/>
  <cols>
    <col min="1" max="1" width="31.77734375" style="77" customWidth="1"/>
    <col min="2" max="6" width="18.77734375" style="77" customWidth="1"/>
    <col min="7" max="7" width="40" style="77" customWidth="1"/>
  </cols>
  <sheetData>
    <row r="1" spans="1:7" ht="17.399999999999999" x14ac:dyDescent="0.3">
      <c r="A1" s="71" t="s">
        <v>575</v>
      </c>
    </row>
    <row r="2" spans="1:7" x14ac:dyDescent="0.3">
      <c r="A2" s="72" t="s">
        <v>576</v>
      </c>
    </row>
    <row r="4" spans="1:7" ht="31.5" customHeight="1" x14ac:dyDescent="0.3">
      <c r="A4" s="73" t="s">
        <v>577</v>
      </c>
      <c r="B4" s="73" t="s">
        <v>578</v>
      </c>
      <c r="C4" s="73" t="s">
        <v>579</v>
      </c>
      <c r="D4" s="73" t="s">
        <v>580</v>
      </c>
      <c r="E4" s="73" t="s">
        <v>581</v>
      </c>
      <c r="F4" s="73" t="s">
        <v>582</v>
      </c>
      <c r="G4" s="73" t="s">
        <v>583</v>
      </c>
    </row>
    <row r="5" spans="1:7" ht="48" customHeight="1" x14ac:dyDescent="0.3">
      <c r="A5" s="74" t="s">
        <v>584</v>
      </c>
      <c r="B5" s="24" t="s">
        <v>585</v>
      </c>
      <c r="C5" s="24" t="s">
        <v>586</v>
      </c>
      <c r="D5" s="24" t="s">
        <v>587</v>
      </c>
      <c r="E5" s="24" t="s">
        <v>588</v>
      </c>
      <c r="F5" s="24" t="s">
        <v>589</v>
      </c>
      <c r="G5" s="78"/>
    </row>
    <row r="6" spans="1:7" x14ac:dyDescent="0.3">
      <c r="A6" s="74" t="s">
        <v>408</v>
      </c>
      <c r="B6" s="31">
        <f>Volumes!B5</f>
        <v>300</v>
      </c>
      <c r="C6" s="31">
        <f>Volumes!B6</f>
        <v>1500</v>
      </c>
      <c r="D6" s="31">
        <f>Volumes!B7</f>
        <v>3000</v>
      </c>
      <c r="E6" s="31">
        <f>Volumes!B8</f>
        <v>6000</v>
      </c>
      <c r="F6" s="31">
        <f>Volumes!B9</f>
        <v>10000</v>
      </c>
      <c r="G6" s="78" t="s">
        <v>590</v>
      </c>
    </row>
    <row r="7" spans="1:7" x14ac:dyDescent="0.3">
      <c r="A7" s="74" t="s">
        <v>591</v>
      </c>
      <c r="B7" s="31">
        <f>Volumes!C5</f>
        <v>300</v>
      </c>
      <c r="C7" s="31">
        <f>Volumes!C6</f>
        <v>1200</v>
      </c>
      <c r="D7" s="31">
        <f>Volumes!C7</f>
        <v>1500</v>
      </c>
      <c r="E7" s="31">
        <f>Volumes!C8</f>
        <v>3000</v>
      </c>
      <c r="F7" s="31">
        <f>Volumes!C9</f>
        <v>4000</v>
      </c>
      <c r="G7" s="78" t="s">
        <v>590</v>
      </c>
    </row>
    <row r="8" spans="1:7" x14ac:dyDescent="0.3">
      <c r="A8" s="74" t="s">
        <v>592</v>
      </c>
      <c r="B8" s="31">
        <f>Assumptions!B23</f>
        <v>2</v>
      </c>
      <c r="C8" s="31">
        <f>Assumptions!C23</f>
        <v>6</v>
      </c>
      <c r="D8" s="31">
        <f>Assumptions!D23</f>
        <v>10</v>
      </c>
      <c r="E8" s="31">
        <f>Assumptions!E23</f>
        <v>14</v>
      </c>
      <c r="F8" s="31">
        <f>Assumptions!F23</f>
        <v>18</v>
      </c>
      <c r="G8" s="78" t="s">
        <v>593</v>
      </c>
    </row>
    <row r="9" spans="1:7" x14ac:dyDescent="0.3">
      <c r="A9" s="74" t="s">
        <v>594</v>
      </c>
      <c r="B9" s="31">
        <f>Volumes!H5</f>
        <v>60</v>
      </c>
      <c r="C9" s="31">
        <f>Volumes!H6</f>
        <v>300</v>
      </c>
      <c r="D9" s="31">
        <f>Volumes!H7</f>
        <v>600</v>
      </c>
      <c r="E9" s="31">
        <f>Volumes!H8</f>
        <v>1200</v>
      </c>
      <c r="F9" s="31">
        <f>Volumes!H9</f>
        <v>2000</v>
      </c>
      <c r="G9" s="78" t="s">
        <v>590</v>
      </c>
    </row>
    <row r="10" spans="1:7" x14ac:dyDescent="0.3">
      <c r="A10" s="74" t="s">
        <v>595</v>
      </c>
      <c r="B10" s="31">
        <f>Volumes!M5</f>
        <v>47</v>
      </c>
      <c r="C10" s="31">
        <f>Volumes!M6</f>
        <v>234</v>
      </c>
      <c r="D10" s="31">
        <f>Volumes!M7</f>
        <v>468</v>
      </c>
      <c r="E10" s="31">
        <f>Volumes!M8</f>
        <v>936</v>
      </c>
      <c r="F10" s="31">
        <f>Volumes!M9</f>
        <v>1560</v>
      </c>
      <c r="G10" s="78" t="s">
        <v>590</v>
      </c>
    </row>
    <row r="11" spans="1:7" ht="68.400000000000006" customHeight="1" x14ac:dyDescent="0.3">
      <c r="A11" s="74" t="s">
        <v>596</v>
      </c>
      <c r="B11" s="24" t="s">
        <v>597</v>
      </c>
      <c r="C11" s="24" t="s">
        <v>598</v>
      </c>
      <c r="D11" s="24" t="s">
        <v>599</v>
      </c>
      <c r="E11" s="24" t="s">
        <v>600</v>
      </c>
      <c r="F11" s="24" t="s">
        <v>601</v>
      </c>
      <c r="G11" s="78"/>
    </row>
    <row r="13" spans="1:7" x14ac:dyDescent="0.3">
      <c r="A13" s="75" t="s">
        <v>602</v>
      </c>
    </row>
    <row r="14" spans="1:7" ht="31.5" customHeight="1" x14ac:dyDescent="0.3">
      <c r="A14" s="73" t="s">
        <v>34</v>
      </c>
      <c r="B14" s="73" t="s">
        <v>128</v>
      </c>
      <c r="C14" s="73" t="s">
        <v>129</v>
      </c>
      <c r="D14" s="73" t="s">
        <v>130</v>
      </c>
      <c r="E14" s="73" t="s">
        <v>131</v>
      </c>
      <c r="F14" s="73" t="s">
        <v>132</v>
      </c>
      <c r="G14" s="73" t="s">
        <v>352</v>
      </c>
    </row>
    <row r="15" spans="1:7" x14ac:dyDescent="0.3">
      <c r="A15" s="76" t="s">
        <v>603</v>
      </c>
      <c r="B15" s="79">
        <f>Spendings!F4</f>
        <v>6000</v>
      </c>
      <c r="C15" s="79">
        <f>Spendings!F5</f>
        <v>24000</v>
      </c>
      <c r="D15" s="79">
        <f>Spendings!F6</f>
        <v>30000</v>
      </c>
      <c r="E15" s="79">
        <f>Spendings!F7</f>
        <v>60000</v>
      </c>
      <c r="F15" s="79">
        <f>Spendings!F8</f>
        <v>80000</v>
      </c>
      <c r="G15" s="78" t="s">
        <v>604</v>
      </c>
    </row>
    <row r="16" spans="1:7" x14ac:dyDescent="0.3">
      <c r="A16" s="76" t="s">
        <v>605</v>
      </c>
      <c r="B16" s="79">
        <f>Spendings!H4</f>
        <v>10000</v>
      </c>
      <c r="C16" s="79">
        <f>Spendings!H5</f>
        <v>10000</v>
      </c>
      <c r="D16" s="79">
        <f>Spendings!H6</f>
        <v>10000</v>
      </c>
      <c r="E16" s="79">
        <f>Spendings!H7</f>
        <v>10000</v>
      </c>
      <c r="F16" s="79">
        <f>Spendings!H8</f>
        <v>10000</v>
      </c>
      <c r="G16" s="78" t="s">
        <v>606</v>
      </c>
    </row>
    <row r="17" spans="1:7" x14ac:dyDescent="0.3">
      <c r="A17" s="76" t="s">
        <v>607</v>
      </c>
      <c r="B17" s="80">
        <f>SUM(B15:B16)</f>
        <v>16000</v>
      </c>
      <c r="C17" s="80">
        <f>SUM(C15:C16)</f>
        <v>34000</v>
      </c>
      <c r="D17" s="80">
        <f>SUM(D15:D16)</f>
        <v>40000</v>
      </c>
      <c r="E17" s="80">
        <f>SUM(E15:E16)</f>
        <v>70000</v>
      </c>
      <c r="F17" s="80">
        <f>SUM(F15:F16)</f>
        <v>90000</v>
      </c>
    </row>
    <row r="18" spans="1:7" x14ac:dyDescent="0.3">
      <c r="A18" s="76" t="s">
        <v>608</v>
      </c>
      <c r="B18" s="81">
        <f>IF(Pricing_Income!F4&gt;0,B17/Pricing_Income!F4,0)</f>
        <v>0.21203286509408958</v>
      </c>
      <c r="C18" s="81">
        <f>IF(Pricing_Income!F5&gt;0,C17/Pricing_Income!F5,0)</f>
        <v>0.13071895424836602</v>
      </c>
      <c r="D18" s="81">
        <f>IF(Pricing_Income!F6&gt;0,D17/Pricing_Income!F6,0)</f>
        <v>8.525149190110827E-2</v>
      </c>
      <c r="E18" s="81">
        <f>IF(Pricing_Income!F7&gt;0,E17/Pricing_Income!F7,0)</f>
        <v>9.2299578059071727E-2</v>
      </c>
      <c r="F18" s="81">
        <f>IF(Pricing_Income!F8&gt;0,F17/Pricing_Income!F8,0)</f>
        <v>8.0789946140035901E-2</v>
      </c>
    </row>
    <row r="19" spans="1:7" x14ac:dyDescent="0.3">
      <c r="A19" s="76" t="s">
        <v>609</v>
      </c>
      <c r="B19" s="82">
        <f>IF(B7&gt;0,B17/B7,0)</f>
        <v>53.333333333333336</v>
      </c>
      <c r="C19" s="82">
        <f>IF(C7&gt;0,C17/C7,0)</f>
        <v>28.333333333333332</v>
      </c>
      <c r="D19" s="82">
        <f>IF(D7&gt;0,D17/D7,0)</f>
        <v>26.666666666666668</v>
      </c>
      <c r="E19" s="82">
        <f>IF(E7&gt;0,E17/E7,0)</f>
        <v>23.333333333333332</v>
      </c>
      <c r="F19" s="82">
        <f>IF(F7&gt;0,F17/F7,0)</f>
        <v>22.5</v>
      </c>
    </row>
    <row r="21" spans="1:7" x14ac:dyDescent="0.3">
      <c r="A21" s="75" t="s">
        <v>610</v>
      </c>
    </row>
    <row r="22" spans="1:7" ht="31.5" customHeight="1" x14ac:dyDescent="0.3">
      <c r="A22" s="73" t="s">
        <v>611</v>
      </c>
      <c r="B22" s="73" t="s">
        <v>612</v>
      </c>
      <c r="C22" s="73"/>
      <c r="D22" s="73"/>
      <c r="E22" s="73"/>
      <c r="F22" s="73"/>
      <c r="G22" s="73" t="s">
        <v>613</v>
      </c>
    </row>
    <row r="23" spans="1:7" x14ac:dyDescent="0.3">
      <c r="A23" s="76" t="s">
        <v>614</v>
      </c>
      <c r="B23" s="83">
        <f>Assumptions!$B$19</f>
        <v>0.2</v>
      </c>
      <c r="G23" s="78" t="s">
        <v>615</v>
      </c>
    </row>
    <row r="24" spans="1:7" x14ac:dyDescent="0.3">
      <c r="A24" s="76" t="s">
        <v>616</v>
      </c>
      <c r="B24" s="83">
        <f>Assumptions!$B$20</f>
        <v>0.52</v>
      </c>
      <c r="G24" s="78" t="s">
        <v>617</v>
      </c>
    </row>
    <row r="25" spans="1:7" x14ac:dyDescent="0.3">
      <c r="A25" s="76" t="s">
        <v>618</v>
      </c>
      <c r="B25" s="83">
        <f>Assumptions!$B$21</f>
        <v>0.26</v>
      </c>
      <c r="G25" s="78" t="s">
        <v>619</v>
      </c>
    </row>
    <row r="26" spans="1:7" x14ac:dyDescent="0.3">
      <c r="A26" s="76" t="s">
        <v>620</v>
      </c>
      <c r="B26" s="84">
        <f>Assumptions!$B$22</f>
        <v>1.5</v>
      </c>
      <c r="G26" s="78" t="s">
        <v>621</v>
      </c>
    </row>
    <row r="27" spans="1:7" x14ac:dyDescent="0.3">
      <c r="A27" s="76" t="s">
        <v>622</v>
      </c>
      <c r="B27" s="79">
        <f>Assumptions!$B$31</f>
        <v>3</v>
      </c>
      <c r="G27" s="78" t="s">
        <v>623</v>
      </c>
    </row>
    <row r="28" spans="1:7" x14ac:dyDescent="0.3">
      <c r="A28" s="76" t="s">
        <v>624</v>
      </c>
      <c r="B28" s="83">
        <f>Assumptions!$B$18</f>
        <v>0.6</v>
      </c>
      <c r="G28" s="78" t="s">
        <v>625</v>
      </c>
    </row>
    <row r="30" spans="1:7" x14ac:dyDescent="0.3">
      <c r="A30" s="75" t="s">
        <v>626</v>
      </c>
    </row>
    <row r="31" spans="1:7" ht="31.5" customHeight="1" x14ac:dyDescent="0.3">
      <c r="A31" s="73" t="s">
        <v>627</v>
      </c>
      <c r="B31" s="73" t="s">
        <v>628</v>
      </c>
      <c r="C31" s="73" t="s">
        <v>629</v>
      </c>
      <c r="D31" s="73"/>
      <c r="E31" s="73"/>
      <c r="F31" s="73"/>
      <c r="G31" s="73" t="s">
        <v>630</v>
      </c>
    </row>
    <row r="32" spans="1:7" ht="30" customHeight="1" x14ac:dyDescent="0.3">
      <c r="A32" s="76" t="s">
        <v>631</v>
      </c>
      <c r="B32" s="24" t="s">
        <v>632</v>
      </c>
      <c r="C32" s="3" t="s">
        <v>633</v>
      </c>
      <c r="D32" s="3"/>
      <c r="E32" s="3"/>
      <c r="F32" s="3"/>
      <c r="G32" s="85" t="s">
        <v>634</v>
      </c>
    </row>
    <row r="33" spans="1:7" ht="30" customHeight="1" x14ac:dyDescent="0.3">
      <c r="A33" s="76" t="s">
        <v>635</v>
      </c>
      <c r="B33" s="24" t="s">
        <v>636</v>
      </c>
      <c r="C33" s="3" t="s">
        <v>637</v>
      </c>
      <c r="D33" s="3"/>
      <c r="E33" s="3"/>
      <c r="F33" s="3"/>
      <c r="G33" s="85" t="s">
        <v>638</v>
      </c>
    </row>
    <row r="34" spans="1:7" ht="30" customHeight="1" x14ac:dyDescent="0.3">
      <c r="A34" s="76" t="s">
        <v>639</v>
      </c>
      <c r="B34" s="24" t="s">
        <v>640</v>
      </c>
      <c r="C34" s="3" t="s">
        <v>641</v>
      </c>
      <c r="D34" s="3"/>
      <c r="E34" s="3"/>
      <c r="F34" s="3"/>
      <c r="G34" s="85" t="s">
        <v>592</v>
      </c>
    </row>
    <row r="35" spans="1:7" ht="45" customHeight="1" x14ac:dyDescent="0.3">
      <c r="A35" s="76" t="s">
        <v>642</v>
      </c>
      <c r="B35" s="24" t="s">
        <v>643</v>
      </c>
      <c r="C35" s="3" t="s">
        <v>644</v>
      </c>
      <c r="D35" s="3"/>
      <c r="E35" s="3"/>
      <c r="F35" s="3"/>
      <c r="G35" s="85" t="s">
        <v>645</v>
      </c>
    </row>
    <row r="36" spans="1:7" ht="30" customHeight="1" x14ac:dyDescent="0.3">
      <c r="A36" s="76" t="s">
        <v>646</v>
      </c>
      <c r="B36" s="24" t="s">
        <v>647</v>
      </c>
      <c r="C36" s="3" t="s">
        <v>648</v>
      </c>
      <c r="D36" s="3"/>
      <c r="E36" s="3"/>
      <c r="F36" s="3"/>
      <c r="G36" s="85" t="s">
        <v>649</v>
      </c>
    </row>
  </sheetData>
  <mergeCells count="5">
    <mergeCell ref="C32:F32"/>
    <mergeCell ref="C33:F33"/>
    <mergeCell ref="C34:F34"/>
    <mergeCell ref="C35:F35"/>
    <mergeCell ref="C36:F36"/>
  </mergeCells>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49"/>
  <sheetViews>
    <sheetView zoomScaleNormal="100" workbookViewId="0"/>
  </sheetViews>
  <sheetFormatPr defaultColWidth="8.6640625" defaultRowHeight="14.4" x14ac:dyDescent="0.3"/>
  <cols>
    <col min="1" max="1" width="7" customWidth="1"/>
    <col min="2" max="2" width="100" customWidth="1"/>
    <col min="3" max="3" width="70" customWidth="1"/>
  </cols>
  <sheetData>
    <row r="1" spans="1:3" ht="17.399999999999999" x14ac:dyDescent="0.3">
      <c r="A1" s="35" t="s">
        <v>650</v>
      </c>
    </row>
    <row r="3" spans="1:3" ht="31.5" customHeight="1" x14ac:dyDescent="0.3">
      <c r="A3" s="18" t="s">
        <v>651</v>
      </c>
      <c r="B3" s="18" t="s">
        <v>652</v>
      </c>
      <c r="C3" s="18" t="s">
        <v>508</v>
      </c>
    </row>
    <row r="4" spans="1:3" ht="26.4" x14ac:dyDescent="0.3">
      <c r="A4" s="54" t="s">
        <v>653</v>
      </c>
      <c r="B4" s="24" t="s">
        <v>654</v>
      </c>
      <c r="C4" s="70" t="s">
        <v>655</v>
      </c>
    </row>
    <row r="5" spans="1:3" x14ac:dyDescent="0.3">
      <c r="A5" s="54" t="s">
        <v>656</v>
      </c>
      <c r="B5" s="24" t="s">
        <v>657</v>
      </c>
      <c r="C5" s="70" t="s">
        <v>658</v>
      </c>
    </row>
    <row r="6" spans="1:3" ht="26.4" x14ac:dyDescent="0.3">
      <c r="A6" s="54" t="s">
        <v>659</v>
      </c>
      <c r="B6" s="24" t="s">
        <v>660</v>
      </c>
      <c r="C6" s="70" t="s">
        <v>661</v>
      </c>
    </row>
    <row r="7" spans="1:3" ht="26.4" x14ac:dyDescent="0.3">
      <c r="A7" s="54" t="s">
        <v>662</v>
      </c>
      <c r="B7" s="24" t="s">
        <v>663</v>
      </c>
      <c r="C7" s="70" t="s">
        <v>664</v>
      </c>
    </row>
    <row r="8" spans="1:3" x14ac:dyDescent="0.3">
      <c r="A8" s="54" t="s">
        <v>665</v>
      </c>
      <c r="B8" s="24" t="s">
        <v>666</v>
      </c>
      <c r="C8" s="70" t="s">
        <v>667</v>
      </c>
    </row>
    <row r="9" spans="1:3" ht="26.4" x14ac:dyDescent="0.3">
      <c r="A9" s="54" t="s">
        <v>668</v>
      </c>
      <c r="B9" s="24" t="s">
        <v>669</v>
      </c>
      <c r="C9" s="70" t="s">
        <v>670</v>
      </c>
    </row>
    <row r="10" spans="1:3" x14ac:dyDescent="0.3">
      <c r="A10" s="54" t="s">
        <v>671</v>
      </c>
      <c r="B10" s="24" t="s">
        <v>672</v>
      </c>
      <c r="C10" s="70" t="s">
        <v>673</v>
      </c>
    </row>
    <row r="11" spans="1:3" x14ac:dyDescent="0.3">
      <c r="A11" s="54" t="s">
        <v>674</v>
      </c>
      <c r="B11" s="24" t="s">
        <v>675</v>
      </c>
      <c r="C11" s="70" t="s">
        <v>676</v>
      </c>
    </row>
    <row r="12" spans="1:3" x14ac:dyDescent="0.3">
      <c r="A12" s="54" t="s">
        <v>677</v>
      </c>
      <c r="B12" s="24" t="s">
        <v>678</v>
      </c>
      <c r="C12" s="70" t="s">
        <v>679</v>
      </c>
    </row>
    <row r="13" spans="1:3" x14ac:dyDescent="0.3">
      <c r="A13" s="54" t="s">
        <v>680</v>
      </c>
      <c r="B13" s="24" t="s">
        <v>681</v>
      </c>
      <c r="C13" s="70" t="s">
        <v>682</v>
      </c>
    </row>
    <row r="14" spans="1:3" x14ac:dyDescent="0.3">
      <c r="A14" s="54" t="s">
        <v>683</v>
      </c>
      <c r="B14" s="24" t="s">
        <v>684</v>
      </c>
      <c r="C14" s="70" t="s">
        <v>685</v>
      </c>
    </row>
    <row r="15" spans="1:3" x14ac:dyDescent="0.3">
      <c r="A15" s="54" t="s">
        <v>686</v>
      </c>
      <c r="B15" s="24" t="s">
        <v>687</v>
      </c>
      <c r="C15" s="70" t="s">
        <v>688</v>
      </c>
    </row>
    <row r="16" spans="1:3" x14ac:dyDescent="0.3">
      <c r="A16" s="54" t="s">
        <v>689</v>
      </c>
      <c r="B16" s="24" t="s">
        <v>690</v>
      </c>
      <c r="C16" s="70" t="s">
        <v>691</v>
      </c>
    </row>
    <row r="17" spans="1:3" ht="26.4" x14ac:dyDescent="0.3">
      <c r="A17" s="54" t="s">
        <v>692</v>
      </c>
      <c r="B17" s="24" t="s">
        <v>693</v>
      </c>
      <c r="C17" s="70" t="s">
        <v>694</v>
      </c>
    </row>
    <row r="18" spans="1:3" x14ac:dyDescent="0.3">
      <c r="A18" s="54" t="s">
        <v>695</v>
      </c>
      <c r="B18" s="24" t="s">
        <v>696</v>
      </c>
      <c r="C18" s="70" t="s">
        <v>697</v>
      </c>
    </row>
    <row r="19" spans="1:3" ht="26.4" x14ac:dyDescent="0.3">
      <c r="A19" s="54" t="s">
        <v>698</v>
      </c>
      <c r="B19" s="24" t="s">
        <v>699</v>
      </c>
      <c r="C19" s="70" t="s">
        <v>700</v>
      </c>
    </row>
    <row r="20" spans="1:3" ht="26.4" x14ac:dyDescent="0.3">
      <c r="A20" s="54" t="s">
        <v>701</v>
      </c>
      <c r="B20" s="24" t="s">
        <v>702</v>
      </c>
      <c r="C20" s="70" t="s">
        <v>703</v>
      </c>
    </row>
    <row r="21" spans="1:3" x14ac:dyDescent="0.3">
      <c r="A21" s="54" t="s">
        <v>704</v>
      </c>
      <c r="B21" s="24" t="s">
        <v>705</v>
      </c>
      <c r="C21" s="70" t="s">
        <v>706</v>
      </c>
    </row>
    <row r="22" spans="1:3" x14ac:dyDescent="0.3">
      <c r="A22" s="54" t="s">
        <v>707</v>
      </c>
      <c r="B22" s="24" t="s">
        <v>708</v>
      </c>
      <c r="C22" s="70" t="s">
        <v>709</v>
      </c>
    </row>
    <row r="23" spans="1:3" x14ac:dyDescent="0.3">
      <c r="A23" s="54" t="s">
        <v>710</v>
      </c>
      <c r="B23" s="24" t="s">
        <v>711</v>
      </c>
      <c r="C23" s="70" t="s">
        <v>712</v>
      </c>
    </row>
    <row r="24" spans="1:3" x14ac:dyDescent="0.3">
      <c r="A24" s="54" t="s">
        <v>713</v>
      </c>
      <c r="B24" s="24" t="s">
        <v>714</v>
      </c>
      <c r="C24" s="70" t="s">
        <v>715</v>
      </c>
    </row>
    <row r="25" spans="1:3" x14ac:dyDescent="0.3">
      <c r="A25" s="54" t="s">
        <v>716</v>
      </c>
      <c r="B25" s="24" t="s">
        <v>717</v>
      </c>
      <c r="C25" s="70" t="s">
        <v>718</v>
      </c>
    </row>
    <row r="26" spans="1:3" x14ac:dyDescent="0.3">
      <c r="A26" s="54" t="s">
        <v>719</v>
      </c>
      <c r="B26" s="24" t="s">
        <v>720</v>
      </c>
      <c r="C26" s="70" t="s">
        <v>721</v>
      </c>
    </row>
    <row r="27" spans="1:3" x14ac:dyDescent="0.3">
      <c r="A27" s="54" t="s">
        <v>722</v>
      </c>
      <c r="B27" s="24" t="s">
        <v>723</v>
      </c>
      <c r="C27" s="70" t="s">
        <v>724</v>
      </c>
    </row>
    <row r="28" spans="1:3" x14ac:dyDescent="0.3">
      <c r="A28" s="54" t="s">
        <v>725</v>
      </c>
      <c r="B28" s="24" t="s">
        <v>726</v>
      </c>
      <c r="C28" s="70" t="s">
        <v>727</v>
      </c>
    </row>
    <row r="29" spans="1:3" x14ac:dyDescent="0.3">
      <c r="A29" s="54" t="s">
        <v>728</v>
      </c>
      <c r="B29" s="24" t="s">
        <v>729</v>
      </c>
      <c r="C29" s="70" t="s">
        <v>730</v>
      </c>
    </row>
    <row r="30" spans="1:3" x14ac:dyDescent="0.3">
      <c r="A30" s="54" t="s">
        <v>731</v>
      </c>
      <c r="B30" s="24" t="s">
        <v>732</v>
      </c>
      <c r="C30" s="70" t="s">
        <v>733</v>
      </c>
    </row>
    <row r="31" spans="1:3" x14ac:dyDescent="0.3">
      <c r="A31" s="54" t="s">
        <v>734</v>
      </c>
      <c r="B31" s="24" t="s">
        <v>735</v>
      </c>
      <c r="C31" s="70" t="s">
        <v>736</v>
      </c>
    </row>
    <row r="32" spans="1:3" x14ac:dyDescent="0.3">
      <c r="A32" s="54" t="s">
        <v>737</v>
      </c>
      <c r="B32" s="24" t="s">
        <v>738</v>
      </c>
      <c r="C32" s="70" t="s">
        <v>739</v>
      </c>
    </row>
    <row r="33" spans="1:3" x14ac:dyDescent="0.3">
      <c r="A33" s="54" t="s">
        <v>740</v>
      </c>
      <c r="B33" s="24" t="s">
        <v>741</v>
      </c>
      <c r="C33" s="70" t="s">
        <v>742</v>
      </c>
    </row>
    <row r="34" spans="1:3" x14ac:dyDescent="0.3">
      <c r="A34" s="54" t="s">
        <v>743</v>
      </c>
      <c r="B34" s="24" t="s">
        <v>744</v>
      </c>
      <c r="C34" s="70" t="s">
        <v>745</v>
      </c>
    </row>
    <row r="35" spans="1:3" x14ac:dyDescent="0.3">
      <c r="A35" s="54" t="s">
        <v>746</v>
      </c>
      <c r="B35" s="24" t="s">
        <v>747</v>
      </c>
      <c r="C35" s="70" t="s">
        <v>748</v>
      </c>
    </row>
    <row r="36" spans="1:3" x14ac:dyDescent="0.3">
      <c r="A36" s="54" t="s">
        <v>749</v>
      </c>
      <c r="B36" s="24" t="s">
        <v>750</v>
      </c>
      <c r="C36" s="70" t="s">
        <v>751</v>
      </c>
    </row>
    <row r="37" spans="1:3" x14ac:dyDescent="0.3">
      <c r="A37" s="54" t="s">
        <v>752</v>
      </c>
      <c r="B37" s="24" t="s">
        <v>753</v>
      </c>
      <c r="C37" s="70" t="s">
        <v>754</v>
      </c>
    </row>
    <row r="38" spans="1:3" ht="26.4" x14ac:dyDescent="0.3">
      <c r="A38" s="54" t="s">
        <v>755</v>
      </c>
      <c r="B38" s="24" t="s">
        <v>756</v>
      </c>
      <c r="C38" s="70" t="s">
        <v>757</v>
      </c>
    </row>
    <row r="39" spans="1:3" x14ac:dyDescent="0.3">
      <c r="A39" s="54" t="s">
        <v>758</v>
      </c>
      <c r="B39" s="24" t="s">
        <v>759</v>
      </c>
      <c r="C39" s="70" t="s">
        <v>760</v>
      </c>
    </row>
    <row r="40" spans="1:3" x14ac:dyDescent="0.3">
      <c r="A40" s="54" t="s">
        <v>761</v>
      </c>
      <c r="B40" s="24" t="s">
        <v>762</v>
      </c>
      <c r="C40" s="70" t="s">
        <v>763</v>
      </c>
    </row>
    <row r="41" spans="1:3" ht="26.4" x14ac:dyDescent="0.3">
      <c r="A41" s="54" t="s">
        <v>764</v>
      </c>
      <c r="B41" s="24" t="s">
        <v>765</v>
      </c>
      <c r="C41" s="70" t="s">
        <v>766</v>
      </c>
    </row>
    <row r="42" spans="1:3" x14ac:dyDescent="0.3">
      <c r="A42" s="54" t="s">
        <v>767</v>
      </c>
      <c r="B42" s="24" t="s">
        <v>768</v>
      </c>
      <c r="C42" s="70" t="s">
        <v>769</v>
      </c>
    </row>
    <row r="43" spans="1:3" x14ac:dyDescent="0.3">
      <c r="A43" s="54" t="s">
        <v>770</v>
      </c>
      <c r="B43" s="24" t="s">
        <v>771</v>
      </c>
      <c r="C43" s="70" t="s">
        <v>772</v>
      </c>
    </row>
    <row r="44" spans="1:3" ht="26.4" x14ac:dyDescent="0.3">
      <c r="A44" s="54" t="s">
        <v>773</v>
      </c>
      <c r="B44" s="24" t="s">
        <v>774</v>
      </c>
      <c r="C44" s="70" t="s">
        <v>775</v>
      </c>
    </row>
    <row r="45" spans="1:3" ht="26.4" x14ac:dyDescent="0.3">
      <c r="A45" s="54" t="s">
        <v>776</v>
      </c>
      <c r="B45" s="24" t="s">
        <v>777</v>
      </c>
      <c r="C45" s="70" t="s">
        <v>778</v>
      </c>
    </row>
    <row r="46" spans="1:3" ht="26.4" x14ac:dyDescent="0.3">
      <c r="A46" s="54" t="s">
        <v>779</v>
      </c>
      <c r="B46" s="24" t="s">
        <v>780</v>
      </c>
      <c r="C46" s="70" t="s">
        <v>781</v>
      </c>
    </row>
    <row r="47" spans="1:3" ht="26.4" x14ac:dyDescent="0.3">
      <c r="A47" s="54" t="s">
        <v>782</v>
      </c>
      <c r="B47" s="24" t="s">
        <v>783</v>
      </c>
      <c r="C47" s="70" t="s">
        <v>784</v>
      </c>
    </row>
    <row r="49" spans="1:1" x14ac:dyDescent="0.3">
      <c r="A49" s="64" t="s">
        <v>785</v>
      </c>
    </row>
  </sheetData>
  <hyperlinks>
    <hyperlink ref="C4" r:id="rId1" xr:uid="{00000000-0004-0000-0C00-000000000000}"/>
    <hyperlink ref="C5" r:id="rId2" xr:uid="{00000000-0004-0000-0C00-000001000000}"/>
    <hyperlink ref="C6" r:id="rId3" xr:uid="{00000000-0004-0000-0C00-000002000000}"/>
    <hyperlink ref="C7" r:id="rId4" xr:uid="{00000000-0004-0000-0C00-000003000000}"/>
    <hyperlink ref="C8" r:id="rId5" xr:uid="{00000000-0004-0000-0C00-000004000000}"/>
    <hyperlink ref="C9" r:id="rId6" xr:uid="{00000000-0004-0000-0C00-000005000000}"/>
    <hyperlink ref="C10" r:id="rId7" xr:uid="{00000000-0004-0000-0C00-000006000000}"/>
    <hyperlink ref="C11" r:id="rId8" xr:uid="{00000000-0004-0000-0C00-000007000000}"/>
    <hyperlink ref="C12" r:id="rId9" xr:uid="{00000000-0004-0000-0C00-000008000000}"/>
    <hyperlink ref="C13" r:id="rId10" xr:uid="{00000000-0004-0000-0C00-000009000000}"/>
    <hyperlink ref="C14" r:id="rId11" xr:uid="{00000000-0004-0000-0C00-00000A000000}"/>
    <hyperlink ref="C15" r:id="rId12" xr:uid="{00000000-0004-0000-0C00-00000B000000}"/>
    <hyperlink ref="C16" r:id="rId13" xr:uid="{00000000-0004-0000-0C00-00000C000000}"/>
    <hyperlink ref="C17" r:id="rId14" xr:uid="{00000000-0004-0000-0C00-00000D000000}"/>
    <hyperlink ref="C18" r:id="rId15" xr:uid="{00000000-0004-0000-0C00-00000E000000}"/>
    <hyperlink ref="C19" r:id="rId16" xr:uid="{00000000-0004-0000-0C00-00000F000000}"/>
    <hyperlink ref="C20" r:id="rId17" xr:uid="{00000000-0004-0000-0C00-000010000000}"/>
    <hyperlink ref="C21" r:id="rId18" xr:uid="{00000000-0004-0000-0C00-000011000000}"/>
    <hyperlink ref="C22" r:id="rId19" xr:uid="{00000000-0004-0000-0C00-000012000000}"/>
    <hyperlink ref="C23" r:id="rId20" xr:uid="{00000000-0004-0000-0C00-000013000000}"/>
    <hyperlink ref="C24" r:id="rId21" xr:uid="{00000000-0004-0000-0C00-000014000000}"/>
    <hyperlink ref="C25" r:id="rId22" xr:uid="{00000000-0004-0000-0C00-000015000000}"/>
    <hyperlink ref="C26" r:id="rId23" xr:uid="{00000000-0004-0000-0C00-000016000000}"/>
    <hyperlink ref="C27" r:id="rId24" xr:uid="{00000000-0004-0000-0C00-000017000000}"/>
    <hyperlink ref="C28" r:id="rId25" xr:uid="{00000000-0004-0000-0C00-000018000000}"/>
    <hyperlink ref="C29" r:id="rId26" xr:uid="{00000000-0004-0000-0C00-000019000000}"/>
    <hyperlink ref="C30" r:id="rId27" xr:uid="{00000000-0004-0000-0C00-00001A000000}"/>
    <hyperlink ref="C31" r:id="rId28" xr:uid="{00000000-0004-0000-0C00-00001B000000}"/>
    <hyperlink ref="C32" r:id="rId29" xr:uid="{00000000-0004-0000-0C00-00001C000000}"/>
    <hyperlink ref="C33" r:id="rId30" xr:uid="{00000000-0004-0000-0C00-00001D000000}"/>
    <hyperlink ref="C34" r:id="rId31" xr:uid="{00000000-0004-0000-0C00-00001E000000}"/>
    <hyperlink ref="C35" r:id="rId32" xr:uid="{00000000-0004-0000-0C00-00001F000000}"/>
    <hyperlink ref="C36" r:id="rId33" xr:uid="{00000000-0004-0000-0C00-000020000000}"/>
    <hyperlink ref="C37" r:id="rId34" xr:uid="{00000000-0004-0000-0C00-000021000000}"/>
    <hyperlink ref="C38" r:id="rId35" xr:uid="{00000000-0004-0000-0C00-000022000000}"/>
    <hyperlink ref="C39" r:id="rId36" xr:uid="{00000000-0004-0000-0C00-000023000000}"/>
    <hyperlink ref="C40" r:id="rId37" xr:uid="{00000000-0004-0000-0C00-000024000000}"/>
    <hyperlink ref="C41" r:id="rId38" xr:uid="{00000000-0004-0000-0C00-000025000000}"/>
    <hyperlink ref="C42" r:id="rId39" xr:uid="{00000000-0004-0000-0C00-000026000000}"/>
    <hyperlink ref="C43" r:id="rId40" xr:uid="{00000000-0004-0000-0C00-000027000000}"/>
    <hyperlink ref="C44" r:id="rId41" xr:uid="{00000000-0004-0000-0C00-000028000000}"/>
    <hyperlink ref="C45" r:id="rId42" xr:uid="{00000000-0004-0000-0C00-000029000000}"/>
    <hyperlink ref="C46" r:id="rId43" xr:uid="{00000000-0004-0000-0C00-00002A000000}"/>
    <hyperlink ref="C47" r:id="rId44" xr:uid="{00000000-0004-0000-0C00-00002B000000}"/>
  </hyperlink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Pricing_Model</vt:lpstr>
      <vt:lpstr>Assumptions</vt:lpstr>
      <vt:lpstr>Upgrade_Calc</vt:lpstr>
      <vt:lpstr>Volumes</vt:lpstr>
      <vt:lpstr>Benefits</vt:lpstr>
      <vt:lpstr>Pricing_Income</vt:lpstr>
      <vt:lpstr>Spendings</vt:lpstr>
      <vt:lpstr>ROI</vt:lpstr>
      <vt:lpstr>Dashboard</vt:lpstr>
      <vt:lpstr>Business_Model</vt:lpstr>
      <vt:lpstr>Marketing_Plan</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CHUA PEI YING</cp:lastModifiedBy>
  <cp:revision>1</cp:revision>
  <dcterms:created xsi:type="dcterms:W3CDTF">2026-10-24T10:16:11Z</dcterms:created>
  <dcterms:modified xsi:type="dcterms:W3CDTF">2026-10-24T10:24:02Z</dcterms:modified>
  <dc:language>en-US</dc:language>
</cp:coreProperties>
</file>